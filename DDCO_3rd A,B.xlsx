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d093d4db6d5766db/Desktop/"/>
    </mc:Choice>
  </mc:AlternateContent>
  <xr:revisionPtr revIDLastSave="32" documentId="8_{180516CC-41A4-403E-B090-57CCD292C5A7}" xr6:coauthVersionLast="47" xr6:coauthVersionMax="47" xr10:uidLastSave="{ACCAFA4F-4EAB-470D-A5BC-68207B5971C4}"/>
  <bookViews>
    <workbookView minimized="1" xWindow="2580" yWindow="2580" windowWidth="14400" windowHeight="7270" activeTab="3" xr2:uid="{00000000-000D-0000-FFFF-FFFF00000000}"/>
  </bookViews>
  <sheets>
    <sheet name="3rd A " sheetId="1" r:id="rId1"/>
    <sheet name="3rdA_internal" sheetId="4" r:id="rId2"/>
    <sheet name="3rdA_total" sheetId="5" r:id="rId3"/>
    <sheet name="3rd B " sheetId="2" r:id="rId4"/>
    <sheet name="3rdB_internal" sheetId="6" r:id="rId5"/>
    <sheet name="3rsB_total" sheetId="7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7" l="1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D8" i="7" a="1"/>
  <c r="D8" i="7" s="1"/>
  <c r="F8" i="7" s="1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8" i="6"/>
  <c r="E8" i="6" a="1"/>
  <c r="E8" i="6" s="1"/>
  <c r="D8" i="6" a="1"/>
  <c r="D8" i="6" s="1"/>
  <c r="D8" i="5" a="1"/>
  <c r="D8" i="5" s="1"/>
  <c r="F8" i="5" s="1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8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E8" i="4" a="1"/>
  <c r="E8" i="4" s="1"/>
  <c r="D8" i="4" a="1"/>
  <c r="D8" i="4" s="1"/>
  <c r="F17" i="5" l="1"/>
  <c r="F58" i="5"/>
  <c r="F34" i="5"/>
  <c r="F10" i="5"/>
  <c r="F57" i="5"/>
  <c r="F33" i="5"/>
  <c r="F9" i="5"/>
  <c r="F56" i="5"/>
  <c r="F32" i="5"/>
  <c r="F20" i="5"/>
  <c r="F31" i="5"/>
  <c r="F42" i="5"/>
  <c r="F18" i="5"/>
  <c r="F65" i="5"/>
  <c r="F29" i="5"/>
  <c r="F64" i="5"/>
  <c r="F52" i="5"/>
  <c r="F40" i="5"/>
  <c r="F28" i="5"/>
  <c r="F16" i="5"/>
  <c r="F43" i="5"/>
  <c r="F19" i="5"/>
  <c r="F54" i="5"/>
  <c r="F30" i="5"/>
  <c r="F53" i="5"/>
  <c r="F63" i="5"/>
  <c r="F51" i="5"/>
  <c r="F39" i="5"/>
  <c r="F27" i="5"/>
  <c r="F15" i="5"/>
  <c r="F41" i="5"/>
  <c r="F62" i="5"/>
  <c r="F50" i="5"/>
  <c r="F38" i="5"/>
  <c r="F26" i="5"/>
  <c r="F14" i="5"/>
  <c r="F13" i="5"/>
  <c r="F22" i="5"/>
  <c r="F45" i="5"/>
  <c r="F44" i="5"/>
  <c r="F49" i="5"/>
  <c r="F25" i="5"/>
  <c r="F60" i="5"/>
  <c r="F48" i="5"/>
  <c r="F36" i="5"/>
  <c r="F24" i="5"/>
  <c r="F12" i="5"/>
  <c r="F46" i="5"/>
  <c r="F21" i="5"/>
  <c r="F55" i="5"/>
  <c r="F61" i="5"/>
  <c r="F37" i="5"/>
  <c r="F59" i="5"/>
  <c r="F47" i="5"/>
  <c r="F35" i="5"/>
  <c r="F23" i="5"/>
  <c r="F1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<sst xmlns="http://schemas.openxmlformats.org/spreadsheetml/2006/main" count="835" uniqueCount="272">
  <si>
    <t xml:space="preserve">                                      AMC ENGINEERING COLLEGE</t>
  </si>
  <si>
    <t xml:space="preserve">                                  DEPARTMENT OF COMPUTER SCIENCE AND ENGINEERING</t>
  </si>
  <si>
    <t>3rd B NAME LIST</t>
  </si>
  <si>
    <t>STAFF INCHARGE:  Ms Shwetha K R</t>
  </si>
  <si>
    <t>Digital Design and Computer Organization</t>
  </si>
  <si>
    <t>SL NO.</t>
  </si>
  <si>
    <t>USN</t>
  </si>
  <si>
    <t>NAME OF THE STUDENT</t>
  </si>
  <si>
    <t>CO1</t>
  </si>
  <si>
    <t>CO2</t>
  </si>
  <si>
    <t>TOTAL</t>
  </si>
  <si>
    <t>CO3</t>
  </si>
  <si>
    <t>CO4</t>
  </si>
  <si>
    <t>CO5</t>
  </si>
  <si>
    <t>1a[8]</t>
  </si>
  <si>
    <t>1b[12]</t>
  </si>
  <si>
    <t>2a[8]]</t>
  </si>
  <si>
    <t>2b[12]</t>
  </si>
  <si>
    <t>3a[12]</t>
  </si>
  <si>
    <t>3b[8]</t>
  </si>
  <si>
    <t>4a[12]</t>
  </si>
  <si>
    <t>4b[8]</t>
  </si>
  <si>
    <t>3a[8]</t>
  </si>
  <si>
    <t>3b[12]</t>
  </si>
  <si>
    <t>4a[8]</t>
  </si>
  <si>
    <t>4b[12]</t>
  </si>
  <si>
    <t>1AM22CS001</t>
  </si>
  <si>
    <t>AADARSH</t>
  </si>
  <si>
    <t>1AM22CS002</t>
  </si>
  <si>
    <t>ABHIJEET SHINDE</t>
  </si>
  <si>
    <t>1AM22CS003</t>
  </si>
  <si>
    <t>ABHILASHA KUMARI</t>
  </si>
  <si>
    <t>1AM22CS004</t>
  </si>
  <si>
    <t>ABHISHEK B</t>
  </si>
  <si>
    <t>1AM22CS005</t>
  </si>
  <si>
    <t>ABHISHEK K</t>
  </si>
  <si>
    <t>1AM22CS006</t>
  </si>
  <si>
    <t>ABU SUFIYAN</t>
  </si>
  <si>
    <t>AB</t>
  </si>
  <si>
    <t>1AM22CS007</t>
  </si>
  <si>
    <t>ACHYUTH KUMAR G V</t>
  </si>
  <si>
    <t>1AM22CS008</t>
  </si>
  <si>
    <t>ADITYA KUMAR SINGH</t>
  </si>
  <si>
    <t>1AM22CS011</t>
  </si>
  <si>
    <t>AISHWARYA RAMACHANDRA BAKALE</t>
  </si>
  <si>
    <t>1AM22CS012</t>
  </si>
  <si>
    <t>AJITH V</t>
  </si>
  <si>
    <t>1AM22CS013</t>
  </si>
  <si>
    <t>AKARSH CHOUDHARY</t>
  </si>
  <si>
    <t>1AM22CS014</t>
  </si>
  <si>
    <t>AKHILESH A M</t>
  </si>
  <si>
    <t>1AM22CS017</t>
  </si>
  <si>
    <t>AMAN KUMAR</t>
  </si>
  <si>
    <t>1AM22CS018</t>
  </si>
  <si>
    <t>AMBUJA T</t>
  </si>
  <si>
    <t>1AM22CS019</t>
  </si>
  <si>
    <t>AMEEN AHMED</t>
  </si>
  <si>
    <t>1AM22CS021</t>
  </si>
  <si>
    <t>AMRESH KUSHWAHA</t>
  </si>
  <si>
    <t>1AM22CS022</t>
  </si>
  <si>
    <t>ANANGA REKHA B</t>
  </si>
  <si>
    <t>1AM22CS023</t>
  </si>
  <si>
    <t>ANIRUDH ADITYA E</t>
  </si>
  <si>
    <t>1AM22CS024</t>
  </si>
  <si>
    <t>ANTONY ALAN</t>
  </si>
  <si>
    <t>1AM22CS025</t>
  </si>
  <si>
    <t>ARCHIT MAHAJAN</t>
  </si>
  <si>
    <t>1AM22CS026</t>
  </si>
  <si>
    <t>ARK THRINATH</t>
  </si>
  <si>
    <t>1AM22CS027</t>
  </si>
  <si>
    <t>ARPITHA H M</t>
  </si>
  <si>
    <t>1AM22CS028</t>
  </si>
  <si>
    <t>ARUN KUMAR P</t>
  </si>
  <si>
    <t>1AM22CS029</t>
  </si>
  <si>
    <t>ARYAN ANIL</t>
  </si>
  <si>
    <t>1AM22CS030</t>
  </si>
  <si>
    <t>AVINASH DUBEY</t>
  </si>
  <si>
    <t>1AM22CS031</t>
  </si>
  <si>
    <t>AWANTIKA</t>
  </si>
  <si>
    <t>1AM22CS032</t>
  </si>
  <si>
    <t>AYUSHI KUMARI</t>
  </si>
  <si>
    <t>1AM22CS033</t>
  </si>
  <si>
    <t>BALAKRISHNA V</t>
  </si>
  <si>
    <t>1AM22CS034</t>
  </si>
  <si>
    <t>BASAVARAJ</t>
  </si>
  <si>
    <t>1AM22CS035</t>
  </si>
  <si>
    <t>BHAVAN PANDE</t>
  </si>
  <si>
    <t>1AM22CS036</t>
  </si>
  <si>
    <t>BURLA RAJAMOULI</t>
  </si>
  <si>
    <t>1AM22CS037</t>
  </si>
  <si>
    <t>C B GAURAV GANAPATHY</t>
  </si>
  <si>
    <t>1AM22CS038</t>
  </si>
  <si>
    <t>C V SAI SARANYA</t>
  </si>
  <si>
    <t>1AM22CS039</t>
  </si>
  <si>
    <t>CHETHAN G R</t>
  </si>
  <si>
    <t>1AM22CS041</t>
  </si>
  <si>
    <t>CHIRANJEEVI NANDA KUMAR</t>
  </si>
  <si>
    <t>1AM22CS042</t>
  </si>
  <si>
    <t>CHIRANTHAN B M</t>
  </si>
  <si>
    <t>1AM22CS043</t>
  </si>
  <si>
    <t>CHITRA SR</t>
  </si>
  <si>
    <t>1AM22CS044</t>
  </si>
  <si>
    <t>DARSHAN B M</t>
  </si>
  <si>
    <t>1AM22CS045</t>
  </si>
  <si>
    <t>DARSHAN D</t>
  </si>
  <si>
    <t>1AM22CS046</t>
  </si>
  <si>
    <t>DARSHAN K</t>
  </si>
  <si>
    <t>1AM22CS047</t>
  </si>
  <si>
    <t>1AM22CS048</t>
  </si>
  <si>
    <t>DARSHAN M</t>
  </si>
  <si>
    <t>1AM22CS049</t>
  </si>
  <si>
    <t>DARSHAN RAGHAVA NAIK</t>
  </si>
  <si>
    <t>1AM22CS050</t>
  </si>
  <si>
    <t>DEEKSHITH G R</t>
  </si>
  <si>
    <t>1AM22CS051</t>
  </si>
  <si>
    <t>DEEPIKA K S</t>
  </si>
  <si>
    <t>1AM22CS052</t>
  </si>
  <si>
    <t>DHANUSHREE S HAYAKAL</t>
  </si>
  <si>
    <t>1AM22CS053</t>
  </si>
  <si>
    <t>DIVYA S</t>
  </si>
  <si>
    <t>1AM22CS054</t>
  </si>
  <si>
    <t>EESH PRATAP SINGH</t>
  </si>
  <si>
    <t>1AM22CS055</t>
  </si>
  <si>
    <t>G ESHA</t>
  </si>
  <si>
    <t>1AM22CS056</t>
  </si>
  <si>
    <t>G MYTHILI</t>
  </si>
  <si>
    <t>1AM22CS057</t>
  </si>
  <si>
    <t>G N LISHRUTHA</t>
  </si>
  <si>
    <t>1AM22CS058</t>
  </si>
  <si>
    <t>GAGAN M S</t>
  </si>
  <si>
    <t>1AM21CS043</t>
  </si>
  <si>
    <t>DEEPAK RAI</t>
  </si>
  <si>
    <t>1AM21CS186</t>
  </si>
  <si>
    <t>SHUBHAM KUMAR</t>
  </si>
  <si>
    <t>LATERAL ENTRY</t>
  </si>
  <si>
    <t>LAVANYA J</t>
  </si>
  <si>
    <t>RAMYA S</t>
  </si>
  <si>
    <t>VISHNU PRASAD</t>
  </si>
  <si>
    <t>ARUN</t>
  </si>
  <si>
    <t xml:space="preserve"> </t>
  </si>
  <si>
    <t>1AM22CS059</t>
  </si>
  <si>
    <t>GAGANA R M</t>
  </si>
  <si>
    <t>1AM22CS060</t>
  </si>
  <si>
    <t>GANASHREE A</t>
  </si>
  <si>
    <t>1AM22CS061</t>
  </si>
  <si>
    <t>GANESH B R</t>
  </si>
  <si>
    <t>1AM22CS062</t>
  </si>
  <si>
    <t>GAYITHRI R</t>
  </si>
  <si>
    <t>1AM22CS063</t>
  </si>
  <si>
    <t>GOLDI KUMARI</t>
  </si>
  <si>
    <t>1AM22CS064</t>
  </si>
  <si>
    <t>GOPIKA M U</t>
  </si>
  <si>
    <t>1AM22CS065</t>
  </si>
  <si>
    <t>GOPIMOHAN MUKHERJEE</t>
  </si>
  <si>
    <t>1AM22CS066</t>
  </si>
  <si>
    <t>GOWDA NAVEENKUMAR UCHE</t>
  </si>
  <si>
    <t>1AM22CS067</t>
  </si>
  <si>
    <t>GURUPRADAD</t>
  </si>
  <si>
    <t>1AM22CS068</t>
  </si>
  <si>
    <t>HARASH SANGRAL</t>
  </si>
  <si>
    <t>1AM22CS069</t>
  </si>
  <si>
    <t>HARI KRISHNA YADAV C</t>
  </si>
  <si>
    <t>1AM22CS070</t>
  </si>
  <si>
    <t>HARSHITH G M</t>
  </si>
  <si>
    <t>1AM22CS071</t>
  </si>
  <si>
    <t>HARSHITHA R</t>
  </si>
  <si>
    <t>1AM22CS072</t>
  </si>
  <si>
    <t>HARSHITHA V R</t>
  </si>
  <si>
    <t>1AM22CS073</t>
  </si>
  <si>
    <t>HEMANTH KUMAR K</t>
  </si>
  <si>
    <t>1AM22CS074</t>
  </si>
  <si>
    <t>HEMANTHA M</t>
  </si>
  <si>
    <t>1AM22CS075</t>
  </si>
  <si>
    <t>HEMASHREE R</t>
  </si>
  <si>
    <t>1AM22CS077</t>
  </si>
  <si>
    <t>HIMANSHU SAHU</t>
  </si>
  <si>
    <t>1AM22CS078</t>
  </si>
  <si>
    <t>HITHYSHI T S</t>
  </si>
  <si>
    <t>1AM22CS079</t>
  </si>
  <si>
    <t>HUDA FATHIMA A</t>
  </si>
  <si>
    <t>1AM22CS080</t>
  </si>
  <si>
    <t>IFFATH FATHIMA</t>
  </si>
  <si>
    <t>1AM22CS081</t>
  </si>
  <si>
    <t>IQRA TAHREEM</t>
  </si>
  <si>
    <t>1AM22CS082</t>
  </si>
  <si>
    <t>J M MUSHARAF</t>
  </si>
  <si>
    <t>1AM22CS083</t>
  </si>
  <si>
    <t>JANANI V</t>
  </si>
  <si>
    <t>1AM22CS084</t>
  </si>
  <si>
    <t>JAWAD KHAN</t>
  </si>
  <si>
    <t>1AM22CS085</t>
  </si>
  <si>
    <t>JAYARANI BASANAGOUDA TAMMANNAVAR</t>
  </si>
  <si>
    <t>1AM22CS086</t>
  </si>
  <si>
    <t>JEEVAN GOWDA B D</t>
  </si>
  <si>
    <t>1AM22CS087</t>
  </si>
  <si>
    <t>JITHUSHREE S L</t>
  </si>
  <si>
    <t>1AM22CS088</t>
  </si>
  <si>
    <t>KANAKA MAHWSHWARI</t>
  </si>
  <si>
    <t>1AM22CS089</t>
  </si>
  <si>
    <t>KARANVEER SINGH AZAD</t>
  </si>
  <si>
    <t>1AM22CS090</t>
  </si>
  <si>
    <t>KARTHIK V</t>
  </si>
  <si>
    <t>1AM22CS091</t>
  </si>
  <si>
    <t>KAVYASHREE K T</t>
  </si>
  <si>
    <t>1AM22CS092</t>
  </si>
  <si>
    <t>KEERTHANA SHENOY</t>
  </si>
  <si>
    <t>1AM22CS093</t>
  </si>
  <si>
    <t>KEERTI</t>
  </si>
  <si>
    <t>1AM22CS094</t>
  </si>
  <si>
    <t>KHUSHI H SHETTY</t>
  </si>
  <si>
    <t>1AM22CS095</t>
  </si>
  <si>
    <t>KIRAN</t>
  </si>
  <si>
    <t>1AM22CS096</t>
  </si>
  <si>
    <t>KISHANGOWDA K R</t>
  </si>
  <si>
    <t>1AM22CS097</t>
  </si>
  <si>
    <t>KRISHA J GOWDA</t>
  </si>
  <si>
    <t>1AM22CS098</t>
  </si>
  <si>
    <t>KRISHNA</t>
  </si>
  <si>
    <t>1AM22CS099</t>
  </si>
  <si>
    <t>LAKSHMI T M</t>
  </si>
  <si>
    <t>1AM22CS100</t>
  </si>
  <si>
    <t>LAKSHMIKANTH B S</t>
  </si>
  <si>
    <t>1AM22CS101</t>
  </si>
  <si>
    <t>LASYA G PRIYA</t>
  </si>
  <si>
    <t>1AM22CS102</t>
  </si>
  <si>
    <t>M B NIMISHAMBHA PATIL</t>
  </si>
  <si>
    <t>1AM22CS103</t>
  </si>
  <si>
    <t>M SHAKTHI LEKHA</t>
  </si>
  <si>
    <t>1AM22CS104</t>
  </si>
  <si>
    <t>M YADUNANDANA</t>
  </si>
  <si>
    <t>1AM22CS105</t>
  </si>
  <si>
    <t>MADAN KUMAR GOUDRU G S</t>
  </si>
  <si>
    <t>1AM22CS108</t>
  </si>
  <si>
    <t>MADIVALAPPA TALAWAR</t>
  </si>
  <si>
    <t>1AM22CS109</t>
  </si>
  <si>
    <t>MAHADEV</t>
  </si>
  <si>
    <t>1AM22CS110</t>
  </si>
  <si>
    <t>MERCY KEERTHANA M</t>
  </si>
  <si>
    <t>1AM22CS111</t>
  </si>
  <si>
    <t>MOEEZ KHAN BIRADAR NAWAB</t>
  </si>
  <si>
    <t>1AM22CS112</t>
  </si>
  <si>
    <t>MOHAMMED TOUSIF</t>
  </si>
  <si>
    <t>1AM22CS113</t>
  </si>
  <si>
    <t>MOHAMMED ZAHID</t>
  </si>
  <si>
    <t>1AM22CS114</t>
  </si>
  <si>
    <t>MOHAMMED ZAID</t>
  </si>
  <si>
    <t>KARTHIKA T</t>
  </si>
  <si>
    <t>NAVEENKUMAR S</t>
  </si>
  <si>
    <t>PAVAN S M</t>
  </si>
  <si>
    <t xml:space="preserve">AJAY G </t>
  </si>
  <si>
    <t xml:space="preserve">K C YASHWANTH </t>
  </si>
  <si>
    <t>Mohammad Rafiq Alikhanavar</t>
  </si>
  <si>
    <t>Prathiksha R Nandeshwar</t>
  </si>
  <si>
    <t>CHANGE OF BRANCH</t>
  </si>
  <si>
    <t>ASHIK S P</t>
  </si>
  <si>
    <t>1AM21CS180</t>
  </si>
  <si>
    <t>SHREYCHADHA</t>
  </si>
  <si>
    <t>IA1</t>
  </si>
  <si>
    <t>IA2</t>
  </si>
  <si>
    <t>AVERAGE</t>
  </si>
  <si>
    <t>REDUCED TO 25</t>
  </si>
  <si>
    <t>LAB MARKS</t>
  </si>
  <si>
    <t>ASSIGNMENT</t>
  </si>
  <si>
    <t>INTERNAL_TOTAL</t>
  </si>
  <si>
    <t>INTERNAL</t>
  </si>
  <si>
    <t>EXTERNAL</t>
  </si>
  <si>
    <t>IA 1</t>
  </si>
  <si>
    <t>IA 2</t>
  </si>
  <si>
    <t>REDUCED__25</t>
  </si>
  <si>
    <t>LAB_MARKS</t>
  </si>
  <si>
    <t>ASSIGNMENTS</t>
  </si>
  <si>
    <t>3rd A NAME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</si>
</sst>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0"/>
      <name val="Calibri"/>
    </font>
    <font>
      <u/>
      <sz val="11"/>
      <name val="Calibri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/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/>
    <xf numFmtId="0" fontId="3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0" borderId="1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13" xfId="0" applyFont="1" applyBorder="1"/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5" fillId="0" borderId="12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2" xfId="0" applyFont="1" applyFill="1" applyBorder="1"/>
    <xf numFmtId="0" fontId="3" fillId="4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vertical="center" wrapText="1"/>
    </xf>
    <xf numFmtId="0" fontId="3" fillId="3" borderId="15" xfId="0" applyFont="1" applyFill="1" applyBorder="1"/>
    <xf numFmtId="0" fontId="3" fillId="4" borderId="15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2" fillId="0" borderId="9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2" fillId="0" borderId="22" xfId="0" applyFont="1" applyBorder="1"/>
    <xf numFmtId="0" fontId="0" fillId="0" borderId="21" xfId="0" applyBorder="1"/>
    <xf numFmtId="0" fontId="0" fillId="0" borderId="22" xfId="0" applyBorder="1"/>
    <xf numFmtId="0" fontId="1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zoomScale="79" workbookViewId="0">
      <selection activeCell="A3" sqref="A3:U3"/>
    </sheetView>
  </sheetViews>
  <sheetFormatPr defaultColWidth="14.453125" defaultRowHeight="15" customHeight="1"/>
  <cols>
    <col min="1" max="1" width="8.81640625" customWidth="1"/>
    <col min="2" max="2" width="13.26953125" customWidth="1"/>
    <col min="3" max="3" width="21" customWidth="1"/>
    <col min="4" max="4" width="5.26953125" customWidth="1"/>
    <col min="5" max="5" width="6.453125" customWidth="1"/>
    <col min="6" max="6" width="6" customWidth="1"/>
    <col min="7" max="7" width="6.453125" customWidth="1"/>
    <col min="8" max="8" width="6.26953125" customWidth="1"/>
    <col min="9" max="9" width="5.453125" customWidth="1"/>
    <col min="10" max="10" width="6.26953125" customWidth="1"/>
    <col min="11" max="11" width="5.453125" customWidth="1"/>
    <col min="12" max="12" width="6" customWidth="1"/>
    <col min="13" max="13" width="5.26953125" customWidth="1"/>
    <col min="14" max="14" width="6.453125" customWidth="1"/>
    <col min="15" max="15" width="6" customWidth="1"/>
    <col min="16" max="16" width="6.453125" customWidth="1"/>
    <col min="17" max="17" width="5.26953125" customWidth="1"/>
    <col min="18" max="18" width="6.453125" customWidth="1"/>
    <col min="19" max="19" width="5.26953125" customWidth="1"/>
    <col min="20" max="20" width="6.453125" customWidth="1"/>
    <col min="21" max="21" width="6" customWidth="1"/>
  </cols>
  <sheetData>
    <row r="1" spans="1:21" ht="19.5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4"/>
    </row>
    <row r="2" spans="1:21" ht="19.5" customHeight="1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4"/>
    </row>
    <row r="3" spans="1:21" ht="19.5" customHeight="1">
      <c r="A3" s="52" t="s">
        <v>271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4"/>
    </row>
    <row r="4" spans="1:21" ht="19.5" customHeight="1">
      <c r="A4" s="52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</row>
    <row r="5" spans="1:21" ht="19.5" customHeight="1">
      <c r="A5" s="52" t="s">
        <v>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4"/>
    </row>
    <row r="6" spans="1:21" ht="25.5" customHeight="1">
      <c r="A6" s="50" t="s">
        <v>5</v>
      </c>
      <c r="B6" s="50" t="s">
        <v>6</v>
      </c>
      <c r="C6" s="50" t="s">
        <v>7</v>
      </c>
      <c r="D6" s="1" t="s">
        <v>8</v>
      </c>
      <c r="E6" s="2" t="s">
        <v>8</v>
      </c>
      <c r="F6" s="2" t="s">
        <v>8</v>
      </c>
      <c r="G6" s="2" t="s">
        <v>8</v>
      </c>
      <c r="H6" s="2" t="s">
        <v>9</v>
      </c>
      <c r="I6" s="2" t="s">
        <v>9</v>
      </c>
      <c r="J6" s="2" t="s">
        <v>9</v>
      </c>
      <c r="K6" s="2" t="s">
        <v>9</v>
      </c>
      <c r="L6" s="48" t="s">
        <v>10</v>
      </c>
      <c r="M6" s="3" t="s">
        <v>11</v>
      </c>
      <c r="N6" s="3" t="s">
        <v>12</v>
      </c>
      <c r="O6" s="3" t="s">
        <v>11</v>
      </c>
      <c r="P6" s="3" t="s">
        <v>12</v>
      </c>
      <c r="Q6" s="3" t="s">
        <v>13</v>
      </c>
      <c r="R6" s="3" t="s">
        <v>12</v>
      </c>
      <c r="S6" s="3" t="s">
        <v>13</v>
      </c>
      <c r="T6" s="3" t="s">
        <v>12</v>
      </c>
      <c r="U6" s="51" t="s">
        <v>10</v>
      </c>
    </row>
    <row r="7" spans="1:21" ht="19.5" customHeight="1">
      <c r="A7" s="49"/>
      <c r="B7" s="49"/>
      <c r="C7" s="49"/>
      <c r="D7" s="4" t="s">
        <v>14</v>
      </c>
      <c r="E7" s="5" t="s">
        <v>15</v>
      </c>
      <c r="F7" s="5" t="s">
        <v>16</v>
      </c>
      <c r="G7" s="6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49"/>
      <c r="M7" s="5" t="s">
        <v>14</v>
      </c>
      <c r="N7" s="5" t="s">
        <v>15</v>
      </c>
      <c r="O7" s="5" t="s">
        <v>16</v>
      </c>
      <c r="P7" s="6" t="s">
        <v>17</v>
      </c>
      <c r="Q7" s="5" t="s">
        <v>22</v>
      </c>
      <c r="R7" s="5" t="s">
        <v>23</v>
      </c>
      <c r="S7" s="5" t="s">
        <v>24</v>
      </c>
      <c r="T7" s="5" t="s">
        <v>25</v>
      </c>
      <c r="U7" s="49"/>
    </row>
    <row r="8" spans="1:21" ht="19.5" customHeight="1">
      <c r="A8" s="7">
        <v>1</v>
      </c>
      <c r="B8" s="8" t="s">
        <v>26</v>
      </c>
      <c r="C8" s="8" t="s">
        <v>27</v>
      </c>
      <c r="D8" s="9">
        <v>6</v>
      </c>
      <c r="E8" s="9">
        <v>4</v>
      </c>
      <c r="F8" s="9"/>
      <c r="G8" s="9"/>
      <c r="H8" s="9"/>
      <c r="I8" s="9"/>
      <c r="J8" s="9">
        <v>2</v>
      </c>
      <c r="K8" s="9">
        <v>0</v>
      </c>
      <c r="L8" s="9">
        <v>12</v>
      </c>
      <c r="M8" s="9">
        <v>6</v>
      </c>
      <c r="N8" s="9">
        <v>6</v>
      </c>
      <c r="O8" s="9"/>
      <c r="P8" s="9"/>
      <c r="Q8" s="9"/>
      <c r="R8" s="9"/>
      <c r="S8" s="9">
        <v>6</v>
      </c>
      <c r="T8" s="9">
        <v>0</v>
      </c>
      <c r="U8" s="9">
        <v>18</v>
      </c>
    </row>
    <row r="9" spans="1:21" ht="19.5" customHeight="1">
      <c r="A9" s="10">
        <v>2</v>
      </c>
      <c r="B9" s="11" t="s">
        <v>28</v>
      </c>
      <c r="C9" s="11" t="s">
        <v>29</v>
      </c>
      <c r="D9" s="12">
        <v>8</v>
      </c>
      <c r="E9" s="12">
        <v>4</v>
      </c>
      <c r="F9" s="12"/>
      <c r="G9" s="12"/>
      <c r="H9" s="12"/>
      <c r="I9" s="12"/>
      <c r="J9" s="12">
        <v>10</v>
      </c>
      <c r="K9" s="12">
        <v>4</v>
      </c>
      <c r="L9" s="12">
        <v>31</v>
      </c>
      <c r="M9" s="12">
        <v>2</v>
      </c>
      <c r="N9" s="12">
        <v>0</v>
      </c>
      <c r="O9" s="12"/>
      <c r="P9" s="12"/>
      <c r="Q9" s="12"/>
      <c r="R9" s="12"/>
      <c r="S9" s="12">
        <v>6</v>
      </c>
      <c r="T9" s="12">
        <v>8</v>
      </c>
      <c r="U9" s="12">
        <v>16</v>
      </c>
    </row>
    <row r="10" spans="1:21" ht="19.5" customHeight="1">
      <c r="A10" s="7">
        <v>3</v>
      </c>
      <c r="B10" s="11" t="s">
        <v>30</v>
      </c>
      <c r="C10" s="11" t="s">
        <v>31</v>
      </c>
      <c r="D10" s="12">
        <v>8</v>
      </c>
      <c r="E10" s="12">
        <v>9</v>
      </c>
      <c r="F10" s="12"/>
      <c r="G10" s="12"/>
      <c r="H10" s="12"/>
      <c r="I10" s="12"/>
      <c r="J10" s="12">
        <v>10</v>
      </c>
      <c r="K10" s="12">
        <v>0</v>
      </c>
      <c r="L10" s="12">
        <v>27</v>
      </c>
      <c r="M10" s="12">
        <v>8</v>
      </c>
      <c r="N10" s="12">
        <v>0</v>
      </c>
      <c r="O10" s="12"/>
      <c r="P10" s="12"/>
      <c r="Q10" s="12">
        <v>8</v>
      </c>
      <c r="R10" s="12">
        <v>0</v>
      </c>
      <c r="S10" s="12">
        <v>6</v>
      </c>
      <c r="T10" s="12">
        <v>0</v>
      </c>
      <c r="U10" s="12">
        <v>16</v>
      </c>
    </row>
    <row r="11" spans="1:21" ht="19.5" customHeight="1">
      <c r="A11" s="10">
        <v>4</v>
      </c>
      <c r="B11" s="11" t="s">
        <v>32</v>
      </c>
      <c r="C11" s="11" t="s">
        <v>33</v>
      </c>
      <c r="D11" s="12">
        <v>8</v>
      </c>
      <c r="E11" s="12">
        <v>7</v>
      </c>
      <c r="F11" s="12"/>
      <c r="G11" s="12"/>
      <c r="H11" s="12"/>
      <c r="I11" s="12"/>
      <c r="J11" s="12">
        <v>8</v>
      </c>
      <c r="K11" s="12">
        <v>0</v>
      </c>
      <c r="L11" s="12">
        <v>22</v>
      </c>
      <c r="M11" s="12">
        <v>8</v>
      </c>
      <c r="N11" s="12">
        <v>3</v>
      </c>
      <c r="O11" s="12"/>
      <c r="P11" s="12"/>
      <c r="Q11" s="12">
        <v>0</v>
      </c>
      <c r="R11" s="12">
        <v>7</v>
      </c>
      <c r="S11" s="12"/>
      <c r="T11" s="12"/>
      <c r="U11" s="12">
        <v>18</v>
      </c>
    </row>
    <row r="12" spans="1:21" ht="19.5" customHeight="1">
      <c r="A12" s="7">
        <v>5</v>
      </c>
      <c r="B12" s="11" t="s">
        <v>34</v>
      </c>
      <c r="C12" s="11" t="s">
        <v>35</v>
      </c>
      <c r="D12" s="12">
        <v>8</v>
      </c>
      <c r="E12" s="12">
        <v>7</v>
      </c>
      <c r="F12" s="12"/>
      <c r="G12" s="12"/>
      <c r="H12" s="12"/>
      <c r="I12" s="12"/>
      <c r="J12" s="12">
        <v>4</v>
      </c>
      <c r="K12" s="12">
        <v>0</v>
      </c>
      <c r="L12" s="12">
        <v>19</v>
      </c>
      <c r="M12" s="12">
        <v>1</v>
      </c>
      <c r="N12" s="12">
        <v>6</v>
      </c>
      <c r="O12" s="12"/>
      <c r="P12" s="12"/>
      <c r="Q12" s="12">
        <v>0</v>
      </c>
      <c r="R12" s="12">
        <v>0</v>
      </c>
      <c r="S12" s="12"/>
      <c r="T12" s="12"/>
      <c r="U12" s="12">
        <v>7</v>
      </c>
    </row>
    <row r="13" spans="1:21" ht="19.5" customHeight="1">
      <c r="A13" s="10">
        <v>6</v>
      </c>
      <c r="B13" s="11" t="s">
        <v>36</v>
      </c>
      <c r="C13" s="11" t="s">
        <v>37</v>
      </c>
      <c r="D13" s="12">
        <v>0</v>
      </c>
      <c r="E13" s="12">
        <v>0</v>
      </c>
      <c r="F13" s="12"/>
      <c r="G13" s="12"/>
      <c r="H13" s="12"/>
      <c r="I13" s="12"/>
      <c r="J13" s="12">
        <v>0</v>
      </c>
      <c r="K13" s="12">
        <v>0</v>
      </c>
      <c r="L13" s="12" t="s">
        <v>38</v>
      </c>
      <c r="M13" s="12">
        <v>8</v>
      </c>
      <c r="N13" s="12">
        <v>0</v>
      </c>
      <c r="O13" s="12"/>
      <c r="P13" s="12"/>
      <c r="Q13" s="12">
        <v>7</v>
      </c>
      <c r="R13" s="12">
        <v>10</v>
      </c>
      <c r="S13" s="12"/>
      <c r="T13" s="12"/>
      <c r="U13" s="12">
        <v>25</v>
      </c>
    </row>
    <row r="14" spans="1:21" ht="19.5" customHeight="1">
      <c r="A14" s="7">
        <v>7</v>
      </c>
      <c r="B14" s="11" t="s">
        <v>39</v>
      </c>
      <c r="C14" s="11" t="s">
        <v>40</v>
      </c>
      <c r="D14" s="12">
        <v>8</v>
      </c>
      <c r="E14" s="12">
        <v>12</v>
      </c>
      <c r="F14" s="12"/>
      <c r="G14" s="12"/>
      <c r="H14" s="12"/>
      <c r="I14" s="12"/>
      <c r="J14" s="12">
        <v>9</v>
      </c>
      <c r="K14" s="12">
        <v>4</v>
      </c>
      <c r="L14" s="12">
        <v>33</v>
      </c>
      <c r="M14" s="12">
        <v>8</v>
      </c>
      <c r="N14" s="12">
        <v>4</v>
      </c>
      <c r="O14" s="12"/>
      <c r="P14" s="12"/>
      <c r="Q14" s="12"/>
      <c r="R14" s="12"/>
      <c r="S14" s="12">
        <v>8</v>
      </c>
      <c r="T14" s="12">
        <v>12</v>
      </c>
      <c r="U14" s="12">
        <v>32</v>
      </c>
    </row>
    <row r="15" spans="1:21" ht="19.5" customHeight="1">
      <c r="A15" s="10">
        <v>8</v>
      </c>
      <c r="B15" s="11" t="s">
        <v>41</v>
      </c>
      <c r="C15" s="11" t="s">
        <v>42</v>
      </c>
      <c r="D15" s="12">
        <v>7</v>
      </c>
      <c r="E15" s="12">
        <v>11</v>
      </c>
      <c r="F15" s="12"/>
      <c r="G15" s="12"/>
      <c r="H15" s="12"/>
      <c r="I15" s="12"/>
      <c r="J15" s="12">
        <v>6</v>
      </c>
      <c r="K15" s="12">
        <v>6</v>
      </c>
      <c r="L15" s="12">
        <v>30</v>
      </c>
      <c r="M15" s="12">
        <v>6</v>
      </c>
      <c r="N15" s="12">
        <v>0</v>
      </c>
      <c r="O15" s="12"/>
      <c r="P15" s="12"/>
      <c r="Q15" s="12">
        <v>0</v>
      </c>
      <c r="R15" s="12">
        <v>0</v>
      </c>
      <c r="S15" s="12"/>
      <c r="T15" s="12"/>
      <c r="U15" s="12">
        <v>6</v>
      </c>
    </row>
    <row r="16" spans="1:21" ht="19.5" customHeight="1">
      <c r="A16" s="7">
        <v>9</v>
      </c>
      <c r="B16" s="11" t="s">
        <v>43</v>
      </c>
      <c r="C16" s="13" t="s">
        <v>44</v>
      </c>
      <c r="D16" s="12">
        <v>7</v>
      </c>
      <c r="E16" s="12">
        <v>2</v>
      </c>
      <c r="F16" s="12"/>
      <c r="G16" s="12"/>
      <c r="H16" s="12"/>
      <c r="I16" s="12"/>
      <c r="J16" s="12">
        <v>9</v>
      </c>
      <c r="K16" s="12">
        <v>6</v>
      </c>
      <c r="L16" s="12">
        <v>34</v>
      </c>
      <c r="M16" s="12">
        <v>7</v>
      </c>
      <c r="N16" s="12">
        <v>3</v>
      </c>
      <c r="O16" s="12"/>
      <c r="P16" s="12"/>
      <c r="Q16" s="12"/>
      <c r="R16" s="12"/>
      <c r="S16" s="12">
        <v>6</v>
      </c>
      <c r="T16" s="12">
        <v>0</v>
      </c>
      <c r="U16" s="12">
        <v>16</v>
      </c>
    </row>
    <row r="17" spans="1:21" ht="19.5" customHeight="1">
      <c r="A17" s="10">
        <v>10</v>
      </c>
      <c r="B17" s="11" t="s">
        <v>45</v>
      </c>
      <c r="C17" s="11" t="s">
        <v>46</v>
      </c>
      <c r="D17" s="12">
        <v>8</v>
      </c>
      <c r="E17" s="12">
        <v>8</v>
      </c>
      <c r="F17" s="12"/>
      <c r="G17" s="12"/>
      <c r="H17" s="12"/>
      <c r="I17" s="12"/>
      <c r="J17" s="12">
        <v>8</v>
      </c>
      <c r="K17" s="12">
        <v>1</v>
      </c>
      <c r="L17" s="12">
        <v>25</v>
      </c>
      <c r="M17" s="12">
        <v>8</v>
      </c>
      <c r="N17" s="12">
        <v>10</v>
      </c>
      <c r="O17" s="12"/>
      <c r="P17" s="12"/>
      <c r="Q17" s="12"/>
      <c r="R17" s="12"/>
      <c r="S17" s="12">
        <v>6</v>
      </c>
      <c r="T17" s="12">
        <v>6</v>
      </c>
      <c r="U17" s="12">
        <v>30</v>
      </c>
    </row>
    <row r="18" spans="1:21" ht="19.5" customHeight="1">
      <c r="A18" s="7">
        <v>11</v>
      </c>
      <c r="B18" s="11" t="s">
        <v>47</v>
      </c>
      <c r="C18" s="11" t="s">
        <v>48</v>
      </c>
      <c r="D18" s="12">
        <v>7</v>
      </c>
      <c r="E18" s="12">
        <v>6</v>
      </c>
      <c r="F18" s="12"/>
      <c r="G18" s="12"/>
      <c r="H18" s="12"/>
      <c r="I18" s="12"/>
      <c r="J18" s="12">
        <v>9</v>
      </c>
      <c r="K18" s="12">
        <v>2</v>
      </c>
      <c r="L18" s="12">
        <v>24</v>
      </c>
      <c r="M18" s="12">
        <v>2</v>
      </c>
      <c r="N18" s="12">
        <v>0</v>
      </c>
      <c r="O18" s="12">
        <v>0</v>
      </c>
      <c r="P18" s="12">
        <v>2</v>
      </c>
      <c r="Q18" s="12"/>
      <c r="R18" s="12"/>
      <c r="S18" s="12">
        <v>3</v>
      </c>
      <c r="T18" s="12">
        <v>3</v>
      </c>
      <c r="U18" s="12">
        <v>5</v>
      </c>
    </row>
    <row r="19" spans="1:21" ht="19.5" customHeight="1">
      <c r="A19" s="10">
        <v>12</v>
      </c>
      <c r="B19" s="11" t="s">
        <v>49</v>
      </c>
      <c r="C19" s="11" t="s">
        <v>50</v>
      </c>
      <c r="D19" s="12">
        <v>8</v>
      </c>
      <c r="E19" s="12">
        <v>12</v>
      </c>
      <c r="F19" s="12"/>
      <c r="G19" s="12"/>
      <c r="H19" s="12"/>
      <c r="I19" s="12"/>
      <c r="J19" s="12">
        <v>12</v>
      </c>
      <c r="K19" s="12">
        <v>3</v>
      </c>
      <c r="L19" s="12">
        <v>35</v>
      </c>
      <c r="M19" s="12">
        <v>5</v>
      </c>
      <c r="N19" s="12">
        <v>3</v>
      </c>
      <c r="O19" s="12"/>
      <c r="P19" s="12"/>
      <c r="Q19" s="12">
        <v>8</v>
      </c>
      <c r="R19" s="12">
        <v>0</v>
      </c>
      <c r="S19" s="12"/>
      <c r="T19" s="12"/>
      <c r="U19" s="12">
        <v>16</v>
      </c>
    </row>
    <row r="20" spans="1:21" ht="19.5" customHeight="1">
      <c r="A20" s="7">
        <v>13</v>
      </c>
      <c r="B20" s="11" t="s">
        <v>51</v>
      </c>
      <c r="C20" s="11" t="s">
        <v>52</v>
      </c>
      <c r="D20" s="12">
        <v>8</v>
      </c>
      <c r="E20" s="12">
        <v>12</v>
      </c>
      <c r="F20" s="12"/>
      <c r="G20" s="12"/>
      <c r="H20" s="12"/>
      <c r="I20" s="12"/>
      <c r="J20" s="12">
        <v>12</v>
      </c>
      <c r="K20" s="12">
        <v>3</v>
      </c>
      <c r="L20" s="12">
        <v>20</v>
      </c>
      <c r="M20" s="12">
        <v>5</v>
      </c>
      <c r="N20" s="12">
        <v>3</v>
      </c>
      <c r="O20" s="12"/>
      <c r="P20" s="12"/>
      <c r="Q20" s="12">
        <v>8</v>
      </c>
      <c r="R20" s="12">
        <v>0</v>
      </c>
      <c r="S20" s="12"/>
      <c r="T20" s="12"/>
      <c r="U20" s="12">
        <v>6</v>
      </c>
    </row>
    <row r="21" spans="1:21" ht="19.5" customHeight="1">
      <c r="A21" s="10">
        <v>14</v>
      </c>
      <c r="B21" s="11" t="s">
        <v>53</v>
      </c>
      <c r="C21" s="11" t="s">
        <v>54</v>
      </c>
      <c r="D21" s="12">
        <v>7</v>
      </c>
      <c r="E21" s="12">
        <v>12</v>
      </c>
      <c r="F21" s="12"/>
      <c r="G21" s="12"/>
      <c r="H21" s="12"/>
      <c r="I21" s="12"/>
      <c r="J21" s="12">
        <v>9</v>
      </c>
      <c r="K21" s="12">
        <v>0</v>
      </c>
      <c r="L21" s="12">
        <v>28</v>
      </c>
      <c r="M21" s="12">
        <v>6</v>
      </c>
      <c r="N21" s="12">
        <v>8</v>
      </c>
      <c r="O21" s="12"/>
      <c r="P21" s="12"/>
      <c r="Q21" s="12">
        <v>6</v>
      </c>
      <c r="R21" s="12">
        <v>4</v>
      </c>
      <c r="S21" s="12"/>
      <c r="T21" s="12"/>
      <c r="U21" s="12">
        <v>24</v>
      </c>
    </row>
    <row r="22" spans="1:21" ht="23.25" customHeight="1">
      <c r="A22" s="7">
        <v>15</v>
      </c>
      <c r="B22" s="11" t="s">
        <v>55</v>
      </c>
      <c r="C22" s="11" t="s">
        <v>56</v>
      </c>
      <c r="D22" s="12">
        <v>8</v>
      </c>
      <c r="E22" s="12">
        <v>11</v>
      </c>
      <c r="F22" s="12"/>
      <c r="G22" s="12"/>
      <c r="H22" s="12"/>
      <c r="I22" s="12"/>
      <c r="J22" s="12">
        <v>4</v>
      </c>
      <c r="K22" s="12">
        <v>5</v>
      </c>
      <c r="L22" s="12">
        <v>28</v>
      </c>
      <c r="M22" s="12">
        <v>7</v>
      </c>
      <c r="N22" s="12">
        <v>0</v>
      </c>
      <c r="O22" s="12"/>
      <c r="P22" s="12"/>
      <c r="Q22" s="12">
        <v>6</v>
      </c>
      <c r="R22" s="12">
        <v>6</v>
      </c>
      <c r="S22" s="12"/>
      <c r="T22" s="12"/>
      <c r="U22" s="12">
        <v>19</v>
      </c>
    </row>
    <row r="23" spans="1:21" ht="19.5" customHeight="1">
      <c r="A23" s="10">
        <v>16</v>
      </c>
      <c r="B23" s="11" t="s">
        <v>57</v>
      </c>
      <c r="C23" s="11" t="s">
        <v>58</v>
      </c>
      <c r="D23" s="12">
        <v>8</v>
      </c>
      <c r="E23" s="12">
        <v>9</v>
      </c>
      <c r="F23" s="12"/>
      <c r="G23" s="12"/>
      <c r="H23" s="12"/>
      <c r="I23" s="12"/>
      <c r="J23" s="12">
        <v>8</v>
      </c>
      <c r="K23" s="12">
        <v>1</v>
      </c>
      <c r="L23" s="12">
        <v>26</v>
      </c>
      <c r="M23" s="12">
        <v>6</v>
      </c>
      <c r="N23" s="12">
        <v>8</v>
      </c>
      <c r="O23" s="12"/>
      <c r="P23" s="12"/>
      <c r="Q23" s="12">
        <v>8</v>
      </c>
      <c r="R23" s="12">
        <v>5</v>
      </c>
      <c r="S23" s="12"/>
      <c r="T23" s="12"/>
      <c r="U23" s="12">
        <v>27</v>
      </c>
    </row>
    <row r="24" spans="1:21" ht="19.5" customHeight="1">
      <c r="A24" s="7">
        <v>17</v>
      </c>
      <c r="B24" s="11" t="s">
        <v>59</v>
      </c>
      <c r="C24" s="11" t="s">
        <v>60</v>
      </c>
      <c r="D24" s="12">
        <v>8</v>
      </c>
      <c r="E24" s="12">
        <v>12</v>
      </c>
      <c r="F24" s="12"/>
      <c r="G24" s="12"/>
      <c r="H24" s="12"/>
      <c r="I24" s="12"/>
      <c r="J24" s="12">
        <v>12</v>
      </c>
      <c r="K24" s="12">
        <v>8</v>
      </c>
      <c r="L24" s="12">
        <v>40</v>
      </c>
      <c r="M24" s="12">
        <v>0</v>
      </c>
      <c r="N24" s="12">
        <v>0</v>
      </c>
      <c r="O24" s="12">
        <v>8</v>
      </c>
      <c r="P24" s="12">
        <v>12</v>
      </c>
      <c r="Q24" s="12">
        <v>8</v>
      </c>
      <c r="R24" s="12">
        <v>12</v>
      </c>
      <c r="S24" s="12">
        <v>0</v>
      </c>
      <c r="T24" s="12">
        <v>0</v>
      </c>
      <c r="U24" s="12">
        <v>40</v>
      </c>
    </row>
    <row r="25" spans="1:21" ht="19.5" customHeight="1">
      <c r="A25" s="10">
        <v>18</v>
      </c>
      <c r="B25" s="11" t="s">
        <v>61</v>
      </c>
      <c r="C25" s="11" t="s">
        <v>62</v>
      </c>
      <c r="D25" s="12">
        <v>8</v>
      </c>
      <c r="E25" s="12">
        <v>4</v>
      </c>
      <c r="F25" s="12">
        <v>1</v>
      </c>
      <c r="G25" s="12"/>
      <c r="H25" s="12"/>
      <c r="I25" s="12"/>
      <c r="J25" s="12">
        <v>7</v>
      </c>
      <c r="K25" s="12">
        <v>2</v>
      </c>
      <c r="L25" s="12">
        <v>21</v>
      </c>
      <c r="M25" s="12">
        <v>7</v>
      </c>
      <c r="N25" s="12">
        <v>0</v>
      </c>
      <c r="O25" s="12">
        <v>6</v>
      </c>
      <c r="P25" s="12">
        <v>0</v>
      </c>
      <c r="Q25" s="12">
        <v>4</v>
      </c>
      <c r="R25" s="12">
        <v>4</v>
      </c>
      <c r="S25" s="12">
        <v>4</v>
      </c>
      <c r="T25" s="12">
        <v>0</v>
      </c>
      <c r="U25" s="12">
        <v>15</v>
      </c>
    </row>
    <row r="26" spans="1:21" ht="19.5" customHeight="1">
      <c r="A26" s="7">
        <v>19</v>
      </c>
      <c r="B26" s="11" t="s">
        <v>63</v>
      </c>
      <c r="C26" s="11" t="s">
        <v>64</v>
      </c>
      <c r="D26" s="12">
        <v>8</v>
      </c>
      <c r="E26" s="12">
        <v>10</v>
      </c>
      <c r="F26" s="12"/>
      <c r="G26" s="12"/>
      <c r="H26" s="12"/>
      <c r="I26" s="12"/>
      <c r="J26" s="12">
        <v>8</v>
      </c>
      <c r="K26" s="12">
        <v>6</v>
      </c>
      <c r="L26" s="12">
        <v>35</v>
      </c>
      <c r="M26" s="12">
        <v>8</v>
      </c>
      <c r="N26" s="12">
        <v>12</v>
      </c>
      <c r="O26" s="12">
        <v>0</v>
      </c>
      <c r="P26" s="12">
        <v>0</v>
      </c>
      <c r="Q26" s="12">
        <v>8</v>
      </c>
      <c r="R26" s="12">
        <v>12</v>
      </c>
      <c r="S26" s="12">
        <v>0</v>
      </c>
      <c r="T26" s="12">
        <v>0</v>
      </c>
      <c r="U26" s="12">
        <v>40</v>
      </c>
    </row>
    <row r="27" spans="1:21" ht="19.5" customHeight="1">
      <c r="A27" s="10">
        <v>20</v>
      </c>
      <c r="B27" s="11" t="s">
        <v>65</v>
      </c>
      <c r="C27" s="11" t="s">
        <v>66</v>
      </c>
      <c r="D27" s="12">
        <v>8</v>
      </c>
      <c r="E27" s="12">
        <v>8</v>
      </c>
      <c r="F27" s="12"/>
      <c r="G27" s="12"/>
      <c r="H27" s="12"/>
      <c r="I27" s="12"/>
      <c r="J27" s="12">
        <v>7</v>
      </c>
      <c r="K27" s="12">
        <v>1</v>
      </c>
      <c r="L27" s="12">
        <v>24</v>
      </c>
      <c r="M27" s="12">
        <v>8</v>
      </c>
      <c r="N27" s="12">
        <v>7</v>
      </c>
      <c r="O27" s="12"/>
      <c r="P27" s="12"/>
      <c r="Q27" s="12">
        <v>6</v>
      </c>
      <c r="R27" s="12">
        <v>6</v>
      </c>
      <c r="S27" s="12"/>
      <c r="T27" s="12"/>
      <c r="U27" s="12">
        <v>27</v>
      </c>
    </row>
    <row r="28" spans="1:21" ht="19.5" customHeight="1">
      <c r="A28" s="7">
        <v>21</v>
      </c>
      <c r="B28" s="11" t="s">
        <v>67</v>
      </c>
      <c r="C28" s="11" t="s">
        <v>68</v>
      </c>
      <c r="D28" s="12">
        <v>8</v>
      </c>
      <c r="E28" s="12">
        <v>8</v>
      </c>
      <c r="F28" s="12"/>
      <c r="G28" s="12"/>
      <c r="H28" s="12"/>
      <c r="I28" s="12"/>
      <c r="J28" s="12">
        <v>9</v>
      </c>
      <c r="K28" s="12">
        <v>0</v>
      </c>
      <c r="L28" s="12">
        <v>25</v>
      </c>
      <c r="M28" s="12">
        <v>5</v>
      </c>
      <c r="N28" s="12">
        <v>2</v>
      </c>
      <c r="O28" s="12"/>
      <c r="P28" s="12"/>
      <c r="Q28" s="12"/>
      <c r="R28" s="12"/>
      <c r="S28" s="12">
        <v>1</v>
      </c>
      <c r="T28" s="12">
        <v>0</v>
      </c>
      <c r="U28" s="12">
        <v>16</v>
      </c>
    </row>
    <row r="29" spans="1:21" ht="19.5" customHeight="1">
      <c r="A29" s="10">
        <v>22</v>
      </c>
      <c r="B29" s="11" t="s">
        <v>69</v>
      </c>
      <c r="C29" s="11" t="s">
        <v>70</v>
      </c>
      <c r="D29" s="12">
        <v>8</v>
      </c>
      <c r="E29" s="12">
        <v>12</v>
      </c>
      <c r="F29" s="12"/>
      <c r="G29" s="12"/>
      <c r="H29" s="12"/>
      <c r="I29" s="12"/>
      <c r="J29" s="12">
        <v>10</v>
      </c>
      <c r="K29" s="12">
        <v>7</v>
      </c>
      <c r="L29" s="12">
        <v>37</v>
      </c>
      <c r="M29" s="12">
        <v>8</v>
      </c>
      <c r="N29" s="12">
        <v>9</v>
      </c>
      <c r="O29" s="12"/>
      <c r="P29" s="12"/>
      <c r="Q29" s="12">
        <v>8</v>
      </c>
      <c r="R29" s="12">
        <v>11</v>
      </c>
      <c r="S29" s="12"/>
      <c r="T29" s="12"/>
      <c r="U29" s="12">
        <v>36</v>
      </c>
    </row>
    <row r="30" spans="1:21" ht="19.5" customHeight="1">
      <c r="A30" s="7">
        <v>23</v>
      </c>
      <c r="B30" s="11" t="s">
        <v>71</v>
      </c>
      <c r="C30" s="11" t="s">
        <v>72</v>
      </c>
      <c r="D30" s="12"/>
      <c r="E30" s="12"/>
      <c r="F30" s="12">
        <v>8</v>
      </c>
      <c r="G30" s="12">
        <v>8</v>
      </c>
      <c r="H30" s="12">
        <v>0</v>
      </c>
      <c r="I30" s="12">
        <v>5</v>
      </c>
      <c r="J30" s="12">
        <v>8</v>
      </c>
      <c r="K30" s="12">
        <v>0</v>
      </c>
      <c r="L30" s="12">
        <v>24</v>
      </c>
      <c r="M30" s="12">
        <v>8</v>
      </c>
      <c r="N30" s="12">
        <v>12</v>
      </c>
      <c r="O30" s="12"/>
      <c r="P30" s="12"/>
      <c r="Q30" s="12"/>
      <c r="R30" s="12"/>
      <c r="S30" s="12">
        <v>6</v>
      </c>
      <c r="T30" s="12">
        <v>12</v>
      </c>
      <c r="U30" s="12">
        <v>38</v>
      </c>
    </row>
    <row r="31" spans="1:21" ht="19.5" customHeight="1">
      <c r="A31" s="10">
        <v>24</v>
      </c>
      <c r="B31" s="11" t="s">
        <v>73</v>
      </c>
      <c r="C31" s="11" t="s">
        <v>74</v>
      </c>
      <c r="D31" s="12">
        <v>8</v>
      </c>
      <c r="E31" s="12">
        <v>12</v>
      </c>
      <c r="F31" s="12"/>
      <c r="G31" s="12"/>
      <c r="H31" s="12"/>
      <c r="I31" s="12"/>
      <c r="J31" s="12">
        <v>10</v>
      </c>
      <c r="K31" s="12">
        <v>3</v>
      </c>
      <c r="L31" s="12">
        <v>33</v>
      </c>
      <c r="M31" s="12">
        <v>8</v>
      </c>
      <c r="N31" s="12">
        <v>10</v>
      </c>
      <c r="O31" s="12"/>
      <c r="P31" s="12"/>
      <c r="Q31" s="12"/>
      <c r="R31" s="12"/>
      <c r="S31" s="12">
        <v>7</v>
      </c>
      <c r="T31" s="12">
        <v>0</v>
      </c>
      <c r="U31" s="12">
        <v>25</v>
      </c>
    </row>
    <row r="32" spans="1:21" ht="19.5" customHeight="1">
      <c r="A32" s="7">
        <v>25</v>
      </c>
      <c r="B32" s="11" t="s">
        <v>75</v>
      </c>
      <c r="C32" s="11" t="s">
        <v>76</v>
      </c>
      <c r="D32" s="12">
        <v>8</v>
      </c>
      <c r="E32" s="12">
        <v>11</v>
      </c>
      <c r="F32" s="12"/>
      <c r="G32" s="12"/>
      <c r="H32" s="12"/>
      <c r="I32" s="12"/>
      <c r="J32" s="12">
        <v>9</v>
      </c>
      <c r="K32" s="12">
        <v>0</v>
      </c>
      <c r="L32" s="12">
        <v>28</v>
      </c>
      <c r="M32" s="12">
        <v>7</v>
      </c>
      <c r="N32" s="12">
        <v>0</v>
      </c>
      <c r="O32" s="12"/>
      <c r="P32" s="12"/>
      <c r="Q32" s="12">
        <v>8</v>
      </c>
      <c r="R32" s="12">
        <v>2</v>
      </c>
      <c r="S32" s="12"/>
      <c r="T32" s="12"/>
      <c r="U32" s="12">
        <v>17</v>
      </c>
    </row>
    <row r="33" spans="1:21" ht="19.5" customHeight="1">
      <c r="A33" s="10">
        <v>26</v>
      </c>
      <c r="B33" s="11" t="s">
        <v>77</v>
      </c>
      <c r="C33" s="11" t="s">
        <v>78</v>
      </c>
      <c r="D33" s="12">
        <v>8</v>
      </c>
      <c r="E33" s="12">
        <v>12</v>
      </c>
      <c r="F33" s="12"/>
      <c r="G33" s="12"/>
      <c r="H33" s="12"/>
      <c r="I33" s="12"/>
      <c r="J33" s="12">
        <v>5</v>
      </c>
      <c r="K33" s="12">
        <v>0</v>
      </c>
      <c r="L33" s="12">
        <v>25</v>
      </c>
      <c r="M33" s="12">
        <v>8</v>
      </c>
      <c r="N33" s="12">
        <v>10</v>
      </c>
      <c r="O33" s="12"/>
      <c r="P33" s="12"/>
      <c r="Q33" s="12"/>
      <c r="R33" s="12"/>
      <c r="S33" s="12">
        <v>6</v>
      </c>
      <c r="T33" s="12">
        <v>0</v>
      </c>
      <c r="U33" s="12">
        <v>26</v>
      </c>
    </row>
    <row r="34" spans="1:21" ht="19.5" customHeight="1">
      <c r="A34" s="7">
        <v>27</v>
      </c>
      <c r="B34" s="11" t="s">
        <v>79</v>
      </c>
      <c r="C34" s="11" t="s">
        <v>80</v>
      </c>
      <c r="D34" s="12">
        <v>8</v>
      </c>
      <c r="E34" s="12">
        <v>12</v>
      </c>
      <c r="F34" s="12"/>
      <c r="G34" s="12"/>
      <c r="H34" s="12"/>
      <c r="I34" s="12"/>
      <c r="J34" s="12">
        <v>2</v>
      </c>
      <c r="K34" s="12">
        <v>0</v>
      </c>
      <c r="L34" s="12">
        <v>22</v>
      </c>
      <c r="M34" s="12">
        <v>2</v>
      </c>
      <c r="N34" s="12">
        <v>0</v>
      </c>
      <c r="O34" s="12"/>
      <c r="P34" s="12"/>
      <c r="Q34" s="12">
        <v>4</v>
      </c>
      <c r="R34" s="12">
        <v>0</v>
      </c>
      <c r="S34" s="12"/>
      <c r="T34" s="12"/>
      <c r="U34" s="12">
        <v>6</v>
      </c>
    </row>
    <row r="35" spans="1:21" ht="19.5" customHeight="1">
      <c r="A35" s="10">
        <v>28</v>
      </c>
      <c r="B35" s="11" t="s">
        <v>81</v>
      </c>
      <c r="C35" s="11" t="s">
        <v>82</v>
      </c>
      <c r="D35" s="12">
        <v>7</v>
      </c>
      <c r="E35" s="12">
        <v>2</v>
      </c>
      <c r="F35" s="12"/>
      <c r="G35" s="12"/>
      <c r="H35" s="12"/>
      <c r="I35" s="12"/>
      <c r="J35" s="12">
        <v>1</v>
      </c>
      <c r="K35" s="12">
        <v>0</v>
      </c>
      <c r="L35" s="12">
        <v>11</v>
      </c>
      <c r="M35" s="12">
        <v>5</v>
      </c>
      <c r="N35" s="12">
        <v>0</v>
      </c>
      <c r="O35" s="12"/>
      <c r="P35" s="12"/>
      <c r="Q35" s="12">
        <v>7</v>
      </c>
      <c r="R35" s="12">
        <v>10</v>
      </c>
      <c r="S35" s="12">
        <v>1</v>
      </c>
      <c r="T35" s="12">
        <v>0</v>
      </c>
      <c r="U35" s="12">
        <v>22</v>
      </c>
    </row>
    <row r="36" spans="1:21" ht="19.5" customHeight="1">
      <c r="A36" s="7">
        <v>29</v>
      </c>
      <c r="B36" s="11" t="s">
        <v>83</v>
      </c>
      <c r="C36" s="11" t="s">
        <v>84</v>
      </c>
      <c r="D36" s="12">
        <v>5</v>
      </c>
      <c r="E36" s="12">
        <v>8</v>
      </c>
      <c r="F36" s="12"/>
      <c r="G36" s="12"/>
      <c r="H36" s="12"/>
      <c r="I36" s="12"/>
      <c r="J36" s="12">
        <v>4</v>
      </c>
      <c r="K36" s="12">
        <v>2</v>
      </c>
      <c r="L36" s="12">
        <v>19</v>
      </c>
      <c r="M36" s="12">
        <v>8</v>
      </c>
      <c r="N36" s="12">
        <v>0</v>
      </c>
      <c r="O36" s="12"/>
      <c r="P36" s="12"/>
      <c r="Q36" s="12"/>
      <c r="R36" s="12"/>
      <c r="S36" s="12">
        <v>6</v>
      </c>
      <c r="T36" s="12">
        <v>0</v>
      </c>
      <c r="U36" s="12">
        <v>14</v>
      </c>
    </row>
    <row r="37" spans="1:21" ht="19.5" customHeight="1">
      <c r="A37" s="10">
        <v>30</v>
      </c>
      <c r="B37" s="11" t="s">
        <v>85</v>
      </c>
      <c r="C37" s="11" t="s">
        <v>86</v>
      </c>
      <c r="D37" s="12"/>
      <c r="E37" s="12"/>
      <c r="F37" s="12">
        <v>8</v>
      </c>
      <c r="G37" s="12">
        <v>12</v>
      </c>
      <c r="H37" s="12"/>
      <c r="I37" s="12"/>
      <c r="J37" s="12">
        <v>12</v>
      </c>
      <c r="K37" s="12">
        <v>8</v>
      </c>
      <c r="L37" s="12">
        <v>40</v>
      </c>
      <c r="M37" s="12">
        <v>8</v>
      </c>
      <c r="N37" s="12">
        <v>11</v>
      </c>
      <c r="O37" s="12"/>
      <c r="P37" s="12"/>
      <c r="Q37" s="12">
        <v>8</v>
      </c>
      <c r="R37" s="12">
        <v>12</v>
      </c>
      <c r="S37" s="12"/>
      <c r="T37" s="12"/>
      <c r="U37" s="12">
        <v>39</v>
      </c>
    </row>
    <row r="38" spans="1:21" ht="19.5" customHeight="1">
      <c r="A38" s="7">
        <v>31</v>
      </c>
      <c r="B38" s="11" t="s">
        <v>87</v>
      </c>
      <c r="C38" s="11" t="s">
        <v>88</v>
      </c>
      <c r="D38" s="12"/>
      <c r="E38" s="12"/>
      <c r="F38" s="12">
        <v>5</v>
      </c>
      <c r="G38" s="12">
        <v>0</v>
      </c>
      <c r="H38" s="12">
        <v>3</v>
      </c>
      <c r="I38" s="12">
        <v>0</v>
      </c>
      <c r="J38" s="12">
        <v>8</v>
      </c>
      <c r="K38" s="12">
        <v>2</v>
      </c>
      <c r="L38" s="12">
        <v>9</v>
      </c>
      <c r="M38" s="12"/>
      <c r="N38" s="12"/>
      <c r="O38" s="12">
        <v>3</v>
      </c>
      <c r="P38" s="12">
        <v>0</v>
      </c>
      <c r="Q38" s="12"/>
      <c r="R38" s="12"/>
      <c r="S38" s="12"/>
      <c r="T38" s="12"/>
      <c r="U38" s="12">
        <v>14</v>
      </c>
    </row>
    <row r="39" spans="1:21" ht="19.5" customHeight="1">
      <c r="A39" s="10">
        <v>32</v>
      </c>
      <c r="B39" s="11" t="s">
        <v>89</v>
      </c>
      <c r="C39" s="11" t="s">
        <v>90</v>
      </c>
      <c r="D39" s="12">
        <v>8</v>
      </c>
      <c r="E39" s="12">
        <v>12</v>
      </c>
      <c r="F39" s="12"/>
      <c r="G39" s="12"/>
      <c r="H39" s="12">
        <v>0</v>
      </c>
      <c r="I39" s="12">
        <v>0</v>
      </c>
      <c r="J39" s="12"/>
      <c r="K39" s="12"/>
      <c r="L39" s="12">
        <v>20</v>
      </c>
      <c r="M39" s="12">
        <v>4</v>
      </c>
      <c r="N39" s="12">
        <v>0</v>
      </c>
      <c r="O39" s="12"/>
      <c r="P39" s="12"/>
      <c r="Q39" s="12">
        <v>5</v>
      </c>
      <c r="R39" s="12">
        <v>8</v>
      </c>
      <c r="S39" s="12"/>
      <c r="T39" s="12"/>
      <c r="U39" s="12">
        <v>17</v>
      </c>
    </row>
    <row r="40" spans="1:21" ht="19.5" customHeight="1">
      <c r="A40" s="7">
        <v>33</v>
      </c>
      <c r="B40" s="11" t="s">
        <v>91</v>
      </c>
      <c r="C40" s="11" t="s">
        <v>92</v>
      </c>
      <c r="D40" s="12">
        <v>8</v>
      </c>
      <c r="E40" s="12">
        <v>12</v>
      </c>
      <c r="F40" s="12"/>
      <c r="G40" s="12"/>
      <c r="H40" s="12"/>
      <c r="I40" s="12"/>
      <c r="J40" s="12">
        <v>12</v>
      </c>
      <c r="K40" s="12">
        <v>6</v>
      </c>
      <c r="L40" s="12">
        <v>38</v>
      </c>
      <c r="M40" s="12">
        <v>7</v>
      </c>
      <c r="N40" s="12">
        <v>8</v>
      </c>
      <c r="O40" s="12"/>
      <c r="P40" s="12"/>
      <c r="Q40" s="12">
        <v>8</v>
      </c>
      <c r="R40" s="12">
        <v>12</v>
      </c>
      <c r="S40" s="12"/>
      <c r="T40" s="12"/>
      <c r="U40" s="12">
        <v>35</v>
      </c>
    </row>
    <row r="41" spans="1:21" ht="19.5" customHeight="1">
      <c r="A41" s="10">
        <v>34</v>
      </c>
      <c r="B41" s="11" t="s">
        <v>93</v>
      </c>
      <c r="C41" s="11" t="s">
        <v>94</v>
      </c>
      <c r="D41" s="12">
        <v>8</v>
      </c>
      <c r="E41" s="12">
        <v>12</v>
      </c>
      <c r="F41" s="12"/>
      <c r="G41" s="12"/>
      <c r="H41" s="12"/>
      <c r="I41" s="12"/>
      <c r="J41" s="12">
        <v>10</v>
      </c>
      <c r="K41" s="12">
        <v>0</v>
      </c>
      <c r="L41" s="12">
        <v>30</v>
      </c>
      <c r="M41" s="12">
        <v>8</v>
      </c>
      <c r="N41" s="12">
        <v>0</v>
      </c>
      <c r="O41" s="12"/>
      <c r="P41" s="12"/>
      <c r="Q41" s="12">
        <v>8</v>
      </c>
      <c r="R41" s="12">
        <v>0</v>
      </c>
      <c r="S41" s="12"/>
      <c r="T41" s="12"/>
      <c r="U41" s="12">
        <v>16</v>
      </c>
    </row>
    <row r="42" spans="1:21" ht="19.5" customHeight="1">
      <c r="A42" s="7">
        <v>35</v>
      </c>
      <c r="B42" s="11" t="s">
        <v>95</v>
      </c>
      <c r="C42" s="14" t="s">
        <v>96</v>
      </c>
      <c r="D42" s="12">
        <v>8</v>
      </c>
      <c r="E42" s="12">
        <v>12</v>
      </c>
      <c r="F42" s="12"/>
      <c r="G42" s="12"/>
      <c r="H42" s="12"/>
      <c r="I42" s="12"/>
      <c r="J42" s="12">
        <v>12</v>
      </c>
      <c r="K42" s="12">
        <v>8</v>
      </c>
      <c r="L42" s="12">
        <v>40</v>
      </c>
      <c r="M42" s="12"/>
      <c r="N42" s="12"/>
      <c r="O42" s="12">
        <v>8</v>
      </c>
      <c r="P42" s="12">
        <v>10</v>
      </c>
      <c r="Q42" s="12">
        <v>8</v>
      </c>
      <c r="R42" s="12">
        <v>12</v>
      </c>
      <c r="S42" s="12"/>
      <c r="T42" s="12"/>
      <c r="U42" s="12">
        <v>38</v>
      </c>
    </row>
    <row r="43" spans="1:21" ht="19.5" customHeight="1">
      <c r="A43" s="10">
        <v>36</v>
      </c>
      <c r="B43" s="11" t="s">
        <v>97</v>
      </c>
      <c r="C43" s="11" t="s">
        <v>98</v>
      </c>
      <c r="D43" s="12">
        <v>8</v>
      </c>
      <c r="E43" s="12">
        <v>12</v>
      </c>
      <c r="F43" s="12"/>
      <c r="G43" s="12"/>
      <c r="H43" s="12"/>
      <c r="I43" s="12"/>
      <c r="J43" s="12">
        <v>11</v>
      </c>
      <c r="K43" s="12">
        <v>6</v>
      </c>
      <c r="L43" s="12">
        <v>37</v>
      </c>
      <c r="M43" s="12">
        <v>8</v>
      </c>
      <c r="N43" s="12">
        <v>12</v>
      </c>
      <c r="O43" s="12"/>
      <c r="P43" s="12"/>
      <c r="Q43" s="12">
        <v>8</v>
      </c>
      <c r="R43" s="12">
        <v>12</v>
      </c>
      <c r="S43" s="12"/>
      <c r="T43" s="12"/>
      <c r="U43" s="12">
        <v>40</v>
      </c>
    </row>
    <row r="44" spans="1:21" ht="19.5" customHeight="1">
      <c r="A44" s="7">
        <v>37</v>
      </c>
      <c r="B44" s="11" t="s">
        <v>99</v>
      </c>
      <c r="C44" s="11" t="s">
        <v>100</v>
      </c>
      <c r="D44" s="12">
        <v>6</v>
      </c>
      <c r="E44" s="12">
        <v>4</v>
      </c>
      <c r="F44" s="12"/>
      <c r="G44" s="12"/>
      <c r="H44" s="12"/>
      <c r="I44" s="12"/>
      <c r="J44" s="12">
        <v>9</v>
      </c>
      <c r="K44" s="12">
        <v>4</v>
      </c>
      <c r="L44" s="12">
        <v>23</v>
      </c>
      <c r="M44" s="12">
        <v>3</v>
      </c>
      <c r="N44" s="12">
        <v>0</v>
      </c>
      <c r="O44" s="12">
        <v>0</v>
      </c>
      <c r="P44" s="12">
        <v>0</v>
      </c>
      <c r="Q44" s="12">
        <v>6</v>
      </c>
      <c r="R44" s="12">
        <v>1</v>
      </c>
      <c r="S44" s="12"/>
      <c r="T44" s="12"/>
      <c r="U44" s="12">
        <v>10</v>
      </c>
    </row>
    <row r="45" spans="1:21" ht="19.5" customHeight="1">
      <c r="A45" s="10">
        <v>38</v>
      </c>
      <c r="B45" s="11" t="s">
        <v>101</v>
      </c>
      <c r="C45" s="11" t="s">
        <v>102</v>
      </c>
      <c r="D45" s="12">
        <v>8</v>
      </c>
      <c r="E45" s="12">
        <v>10</v>
      </c>
      <c r="F45" s="12"/>
      <c r="G45" s="12"/>
      <c r="H45" s="12"/>
      <c r="I45" s="12"/>
      <c r="J45" s="12">
        <v>10</v>
      </c>
      <c r="K45" s="12">
        <v>0</v>
      </c>
      <c r="L45" s="12">
        <v>28</v>
      </c>
      <c r="M45" s="12">
        <v>8</v>
      </c>
      <c r="N45" s="12">
        <v>8</v>
      </c>
      <c r="O45" s="12"/>
      <c r="P45" s="12"/>
      <c r="Q45" s="12">
        <v>8</v>
      </c>
      <c r="R45" s="12">
        <v>0</v>
      </c>
      <c r="S45" s="12"/>
      <c r="T45" s="12"/>
      <c r="U45" s="12">
        <v>24</v>
      </c>
    </row>
    <row r="46" spans="1:21" ht="19.5" customHeight="1">
      <c r="A46" s="7">
        <v>39</v>
      </c>
      <c r="B46" s="11" t="s">
        <v>103</v>
      </c>
      <c r="C46" s="11" t="s">
        <v>104</v>
      </c>
      <c r="D46" s="12">
        <v>8</v>
      </c>
      <c r="E46" s="12">
        <v>7</v>
      </c>
      <c r="F46" s="12"/>
      <c r="G46" s="12"/>
      <c r="H46" s="12">
        <v>12</v>
      </c>
      <c r="I46" s="12">
        <v>7</v>
      </c>
      <c r="J46" s="12"/>
      <c r="K46" s="12"/>
      <c r="L46" s="12">
        <v>34</v>
      </c>
      <c r="M46" s="12">
        <v>8</v>
      </c>
      <c r="N46" s="12">
        <v>12</v>
      </c>
      <c r="O46" s="12"/>
      <c r="P46" s="12"/>
      <c r="Q46" s="12">
        <v>8</v>
      </c>
      <c r="R46" s="12">
        <v>12</v>
      </c>
      <c r="S46" s="12"/>
      <c r="T46" s="12"/>
      <c r="U46" s="12">
        <v>40</v>
      </c>
    </row>
    <row r="47" spans="1:21" ht="19.5" customHeight="1">
      <c r="A47" s="10">
        <v>40</v>
      </c>
      <c r="B47" s="11" t="s">
        <v>105</v>
      </c>
      <c r="C47" s="11" t="s">
        <v>106</v>
      </c>
      <c r="D47" s="12">
        <v>8</v>
      </c>
      <c r="E47" s="12">
        <v>7</v>
      </c>
      <c r="F47" s="12"/>
      <c r="G47" s="12"/>
      <c r="H47" s="12"/>
      <c r="I47" s="12"/>
      <c r="J47" s="12">
        <v>6</v>
      </c>
      <c r="K47" s="12">
        <v>2</v>
      </c>
      <c r="L47" s="12">
        <v>23</v>
      </c>
      <c r="M47" s="12">
        <v>8</v>
      </c>
      <c r="N47" s="12">
        <v>12</v>
      </c>
      <c r="O47" s="12"/>
      <c r="P47" s="12"/>
      <c r="Q47" s="12">
        <v>8</v>
      </c>
      <c r="R47" s="12">
        <v>0</v>
      </c>
      <c r="S47" s="12"/>
      <c r="T47" s="12"/>
      <c r="U47" s="12">
        <v>28</v>
      </c>
    </row>
    <row r="48" spans="1:21" ht="19.5" customHeight="1">
      <c r="A48" s="7">
        <v>41</v>
      </c>
      <c r="B48" s="11" t="s">
        <v>107</v>
      </c>
      <c r="C48" s="11" t="s">
        <v>106</v>
      </c>
      <c r="D48" s="12">
        <v>8</v>
      </c>
      <c r="E48" s="12">
        <v>5</v>
      </c>
      <c r="F48" s="12"/>
      <c r="G48" s="12"/>
      <c r="H48" s="12"/>
      <c r="I48" s="12"/>
      <c r="J48" s="12">
        <v>7</v>
      </c>
      <c r="K48" s="12">
        <v>2</v>
      </c>
      <c r="L48" s="12">
        <v>22</v>
      </c>
      <c r="M48" s="12">
        <v>8</v>
      </c>
      <c r="N48" s="12">
        <v>4</v>
      </c>
      <c r="O48" s="12"/>
      <c r="P48" s="12"/>
      <c r="Q48" s="12">
        <v>8</v>
      </c>
      <c r="R48" s="12">
        <v>0</v>
      </c>
      <c r="S48" s="12"/>
      <c r="T48" s="12"/>
      <c r="U48" s="12">
        <v>20</v>
      </c>
    </row>
    <row r="49" spans="1:21" ht="19.5" customHeight="1">
      <c r="A49" s="10">
        <v>42</v>
      </c>
      <c r="B49" s="11" t="s">
        <v>108</v>
      </c>
      <c r="C49" s="11" t="s">
        <v>109</v>
      </c>
      <c r="D49" s="12">
        <v>0</v>
      </c>
      <c r="E49" s="12">
        <v>1</v>
      </c>
      <c r="F49" s="12">
        <v>8</v>
      </c>
      <c r="G49" s="12">
        <v>12</v>
      </c>
      <c r="H49" s="12"/>
      <c r="I49" s="12"/>
      <c r="J49" s="12">
        <v>10</v>
      </c>
      <c r="K49" s="12">
        <v>0</v>
      </c>
      <c r="L49" s="12">
        <v>30</v>
      </c>
      <c r="M49" s="12">
        <v>8</v>
      </c>
      <c r="N49" s="12">
        <v>2</v>
      </c>
      <c r="O49" s="12"/>
      <c r="P49" s="12"/>
      <c r="Q49" s="12">
        <v>8</v>
      </c>
      <c r="R49" s="12">
        <v>12</v>
      </c>
      <c r="S49" s="12"/>
      <c r="T49" s="12"/>
      <c r="U49" s="12">
        <v>30</v>
      </c>
    </row>
    <row r="50" spans="1:21" ht="19.5" customHeight="1">
      <c r="A50" s="7">
        <v>43</v>
      </c>
      <c r="B50" s="11" t="s">
        <v>110</v>
      </c>
      <c r="C50" s="11" t="s">
        <v>111</v>
      </c>
      <c r="D50" s="12">
        <v>8</v>
      </c>
      <c r="E50" s="12">
        <v>12</v>
      </c>
      <c r="F50" s="12"/>
      <c r="G50" s="12"/>
      <c r="H50" s="12">
        <v>11</v>
      </c>
      <c r="I50" s="12">
        <v>7</v>
      </c>
      <c r="J50" s="12"/>
      <c r="K50" s="12"/>
      <c r="L50" s="12">
        <v>38</v>
      </c>
      <c r="M50" s="12">
        <v>8</v>
      </c>
      <c r="N50" s="12">
        <v>12</v>
      </c>
      <c r="O50" s="12"/>
      <c r="P50" s="12"/>
      <c r="Q50" s="12">
        <v>8</v>
      </c>
      <c r="R50" s="12">
        <v>12</v>
      </c>
      <c r="S50" s="12"/>
      <c r="T50" s="12"/>
      <c r="U50" s="12">
        <v>40</v>
      </c>
    </row>
    <row r="51" spans="1:21" ht="19.5" customHeight="1">
      <c r="A51" s="10">
        <v>44</v>
      </c>
      <c r="B51" s="11" t="s">
        <v>112</v>
      </c>
      <c r="C51" s="11" t="s">
        <v>113</v>
      </c>
      <c r="D51" s="12">
        <v>8</v>
      </c>
      <c r="E51" s="12">
        <v>11</v>
      </c>
      <c r="F51" s="12"/>
      <c r="G51" s="12"/>
      <c r="H51" s="12">
        <v>12</v>
      </c>
      <c r="I51" s="12">
        <v>8</v>
      </c>
      <c r="J51" s="12"/>
      <c r="K51" s="12"/>
      <c r="L51" s="12">
        <v>39</v>
      </c>
      <c r="M51" s="12">
        <v>8</v>
      </c>
      <c r="N51" s="12">
        <v>12</v>
      </c>
      <c r="O51" s="12"/>
      <c r="P51" s="12"/>
      <c r="Q51" s="12">
        <v>8</v>
      </c>
      <c r="R51" s="12">
        <v>2</v>
      </c>
      <c r="S51" s="12"/>
      <c r="T51" s="12"/>
      <c r="U51" s="12">
        <v>30</v>
      </c>
    </row>
    <row r="52" spans="1:21" ht="19.5" customHeight="1">
      <c r="A52" s="7">
        <v>45</v>
      </c>
      <c r="B52" s="11" t="s">
        <v>114</v>
      </c>
      <c r="C52" s="11" t="s">
        <v>115</v>
      </c>
      <c r="D52" s="12">
        <v>8</v>
      </c>
      <c r="E52" s="12">
        <v>11</v>
      </c>
      <c r="F52" s="12"/>
      <c r="G52" s="12"/>
      <c r="H52" s="12"/>
      <c r="I52" s="12"/>
      <c r="J52" s="12">
        <v>11</v>
      </c>
      <c r="K52" s="12">
        <v>6</v>
      </c>
      <c r="L52" s="12">
        <v>36</v>
      </c>
      <c r="M52" s="12">
        <v>8</v>
      </c>
      <c r="N52" s="12">
        <v>12</v>
      </c>
      <c r="O52" s="12"/>
      <c r="P52" s="12"/>
      <c r="Q52" s="12">
        <v>7</v>
      </c>
      <c r="R52" s="12">
        <v>11</v>
      </c>
      <c r="S52" s="12"/>
      <c r="T52" s="12"/>
      <c r="U52" s="12">
        <v>38</v>
      </c>
    </row>
    <row r="53" spans="1:21" ht="19.5" customHeight="1">
      <c r="A53" s="10">
        <v>46</v>
      </c>
      <c r="B53" s="11" t="s">
        <v>116</v>
      </c>
      <c r="C53" s="11" t="s">
        <v>117</v>
      </c>
      <c r="D53" s="12">
        <v>8</v>
      </c>
      <c r="E53" s="12">
        <v>11</v>
      </c>
      <c r="F53" s="12"/>
      <c r="G53" s="12"/>
      <c r="H53" s="12"/>
      <c r="I53" s="12"/>
      <c r="J53" s="12">
        <v>11</v>
      </c>
      <c r="K53" s="12">
        <v>5</v>
      </c>
      <c r="L53" s="12">
        <v>35</v>
      </c>
      <c r="M53" s="12">
        <v>7</v>
      </c>
      <c r="N53" s="12">
        <v>0</v>
      </c>
      <c r="O53" s="12"/>
      <c r="P53" s="12"/>
      <c r="Q53" s="12">
        <v>5</v>
      </c>
      <c r="R53" s="12">
        <v>0</v>
      </c>
      <c r="S53" s="12"/>
      <c r="T53" s="12"/>
      <c r="U53" s="12">
        <v>12</v>
      </c>
    </row>
    <row r="54" spans="1:21" ht="19.5" customHeight="1">
      <c r="A54" s="7">
        <v>47</v>
      </c>
      <c r="B54" s="11" t="s">
        <v>118</v>
      </c>
      <c r="C54" s="11" t="s">
        <v>119</v>
      </c>
      <c r="D54" s="12">
        <v>8</v>
      </c>
      <c r="E54" s="12">
        <v>9</v>
      </c>
      <c r="F54" s="12"/>
      <c r="G54" s="12"/>
      <c r="H54" s="12"/>
      <c r="I54" s="12"/>
      <c r="J54" s="12">
        <v>9</v>
      </c>
      <c r="K54" s="12">
        <v>0</v>
      </c>
      <c r="L54" s="12">
        <v>26</v>
      </c>
      <c r="M54" s="12"/>
      <c r="N54" s="12"/>
      <c r="O54" s="12"/>
      <c r="P54" s="12"/>
      <c r="Q54" s="12"/>
      <c r="R54" s="12"/>
      <c r="S54" s="12">
        <v>4</v>
      </c>
      <c r="T54" s="12">
        <v>0</v>
      </c>
      <c r="U54" s="12">
        <v>4</v>
      </c>
    </row>
    <row r="55" spans="1:21" ht="19.5" customHeight="1">
      <c r="A55" s="10">
        <v>48</v>
      </c>
      <c r="B55" s="11" t="s">
        <v>120</v>
      </c>
      <c r="C55" s="11" t="s">
        <v>121</v>
      </c>
      <c r="D55" s="12">
        <v>8</v>
      </c>
      <c r="E55" s="12">
        <v>2</v>
      </c>
      <c r="F55" s="12"/>
      <c r="G55" s="12"/>
      <c r="H55" s="12"/>
      <c r="I55" s="12"/>
      <c r="J55" s="12">
        <v>2</v>
      </c>
      <c r="K55" s="12">
        <v>0</v>
      </c>
      <c r="L55" s="12">
        <v>12</v>
      </c>
      <c r="M55" s="12">
        <v>8</v>
      </c>
      <c r="N55" s="12">
        <v>8</v>
      </c>
      <c r="O55" s="12"/>
      <c r="P55" s="12"/>
      <c r="Q55" s="12"/>
      <c r="R55" s="12"/>
      <c r="S55" s="12">
        <v>2</v>
      </c>
      <c r="T55" s="12">
        <v>0</v>
      </c>
      <c r="U55" s="12">
        <v>18</v>
      </c>
    </row>
    <row r="56" spans="1:21" ht="19.5" customHeight="1">
      <c r="A56" s="7">
        <v>49</v>
      </c>
      <c r="B56" s="11" t="s">
        <v>122</v>
      </c>
      <c r="C56" s="11" t="s">
        <v>123</v>
      </c>
      <c r="D56" s="12">
        <v>8</v>
      </c>
      <c r="E56" s="12">
        <v>12</v>
      </c>
      <c r="F56" s="12"/>
      <c r="G56" s="12"/>
      <c r="H56" s="12"/>
      <c r="I56" s="12"/>
      <c r="J56" s="12">
        <v>12</v>
      </c>
      <c r="K56" s="12">
        <v>7</v>
      </c>
      <c r="L56" s="12">
        <v>39</v>
      </c>
      <c r="M56" s="12">
        <v>8</v>
      </c>
      <c r="N56" s="12">
        <v>12</v>
      </c>
      <c r="O56" s="12"/>
      <c r="P56" s="12"/>
      <c r="Q56" s="12">
        <v>8</v>
      </c>
      <c r="R56" s="12">
        <v>12</v>
      </c>
      <c r="S56" s="12"/>
      <c r="T56" s="12"/>
      <c r="U56" s="12">
        <v>40</v>
      </c>
    </row>
    <row r="57" spans="1:21" ht="19.5" customHeight="1">
      <c r="A57" s="10">
        <v>50</v>
      </c>
      <c r="B57" s="11" t="s">
        <v>124</v>
      </c>
      <c r="C57" s="11" t="s">
        <v>125</v>
      </c>
      <c r="D57" s="12">
        <v>8</v>
      </c>
      <c r="E57" s="12">
        <v>5</v>
      </c>
      <c r="F57" s="12"/>
      <c r="G57" s="12"/>
      <c r="H57" s="12"/>
      <c r="I57" s="12"/>
      <c r="J57" s="12">
        <v>8</v>
      </c>
      <c r="K57" s="12">
        <v>5</v>
      </c>
      <c r="L57" s="12">
        <v>26</v>
      </c>
      <c r="M57" s="12">
        <v>7</v>
      </c>
      <c r="N57" s="12">
        <v>10</v>
      </c>
      <c r="O57" s="12"/>
      <c r="P57" s="12"/>
      <c r="Q57" s="12"/>
      <c r="R57" s="12"/>
      <c r="S57" s="12">
        <v>6</v>
      </c>
      <c r="T57" s="12">
        <v>11</v>
      </c>
      <c r="U57" s="12">
        <v>34</v>
      </c>
    </row>
    <row r="58" spans="1:21" ht="19.5" customHeight="1">
      <c r="A58" s="7">
        <v>51</v>
      </c>
      <c r="B58" s="11" t="s">
        <v>126</v>
      </c>
      <c r="C58" s="11" t="s">
        <v>127</v>
      </c>
      <c r="D58" s="12">
        <v>8</v>
      </c>
      <c r="E58" s="12">
        <v>10</v>
      </c>
      <c r="F58" s="12"/>
      <c r="G58" s="12"/>
      <c r="H58" s="12"/>
      <c r="I58" s="12"/>
      <c r="J58" s="12">
        <v>9</v>
      </c>
      <c r="K58" s="12">
        <v>2</v>
      </c>
      <c r="L58" s="12">
        <v>29</v>
      </c>
      <c r="M58" s="12">
        <v>2</v>
      </c>
      <c r="N58" s="12">
        <v>0</v>
      </c>
      <c r="O58" s="12">
        <v>3</v>
      </c>
      <c r="P58" s="12">
        <v>0</v>
      </c>
      <c r="Q58" s="12">
        <v>1</v>
      </c>
      <c r="R58" s="12">
        <v>0</v>
      </c>
      <c r="S58" s="12"/>
      <c r="T58" s="12"/>
      <c r="U58" s="12">
        <v>4</v>
      </c>
    </row>
    <row r="59" spans="1:21" ht="19.5" customHeight="1">
      <c r="A59" s="10">
        <v>52</v>
      </c>
      <c r="B59" s="11" t="s">
        <v>128</v>
      </c>
      <c r="C59" s="11" t="s">
        <v>129</v>
      </c>
      <c r="D59" s="12">
        <v>8</v>
      </c>
      <c r="E59" s="12">
        <v>11</v>
      </c>
      <c r="F59" s="12"/>
      <c r="G59" s="12"/>
      <c r="H59" s="12"/>
      <c r="I59" s="12"/>
      <c r="J59" s="12">
        <v>8</v>
      </c>
      <c r="K59" s="12">
        <v>3</v>
      </c>
      <c r="L59" s="12">
        <v>30</v>
      </c>
      <c r="M59" s="12">
        <v>8</v>
      </c>
      <c r="N59" s="12">
        <v>12</v>
      </c>
      <c r="O59" s="12"/>
      <c r="P59" s="12"/>
      <c r="Q59" s="12">
        <v>1</v>
      </c>
      <c r="R59" s="12">
        <v>0</v>
      </c>
      <c r="S59" s="12">
        <v>4</v>
      </c>
      <c r="T59" s="12">
        <v>0</v>
      </c>
      <c r="U59" s="12">
        <v>24</v>
      </c>
    </row>
    <row r="60" spans="1:21" ht="19.5" customHeight="1">
      <c r="A60" s="7">
        <v>53</v>
      </c>
      <c r="B60" s="11" t="s">
        <v>130</v>
      </c>
      <c r="C60" s="11" t="s">
        <v>131</v>
      </c>
      <c r="D60" s="12">
        <v>7</v>
      </c>
      <c r="E60" s="12">
        <v>3</v>
      </c>
      <c r="F60" s="12"/>
      <c r="G60" s="12"/>
      <c r="H60" s="12">
        <v>3</v>
      </c>
      <c r="I60" s="12">
        <v>1</v>
      </c>
      <c r="J60" s="12"/>
      <c r="K60" s="12"/>
      <c r="L60" s="12">
        <v>14</v>
      </c>
      <c r="M60" s="12">
        <v>6</v>
      </c>
      <c r="N60" s="12">
        <v>0</v>
      </c>
      <c r="O60" s="12"/>
      <c r="P60" s="12"/>
      <c r="Q60" s="12"/>
      <c r="R60" s="12"/>
      <c r="S60" s="12">
        <v>0</v>
      </c>
      <c r="T60" s="12">
        <v>7</v>
      </c>
      <c r="U60" s="12">
        <v>13</v>
      </c>
    </row>
    <row r="61" spans="1:21" ht="19.5" customHeight="1">
      <c r="A61" s="10">
        <v>54</v>
      </c>
      <c r="B61" s="11" t="s">
        <v>132</v>
      </c>
      <c r="C61" s="11" t="s">
        <v>133</v>
      </c>
      <c r="D61" s="12">
        <v>7</v>
      </c>
      <c r="E61" s="12">
        <v>3</v>
      </c>
      <c r="F61" s="12"/>
      <c r="G61" s="12"/>
      <c r="H61" s="12">
        <v>3</v>
      </c>
      <c r="I61" s="12">
        <v>1</v>
      </c>
      <c r="J61" s="12"/>
      <c r="K61" s="12"/>
      <c r="L61" s="12">
        <v>14</v>
      </c>
      <c r="M61" s="12">
        <v>7</v>
      </c>
      <c r="N61" s="12">
        <v>0</v>
      </c>
      <c r="O61" s="12"/>
      <c r="P61" s="12"/>
      <c r="Q61" s="12"/>
      <c r="R61" s="12"/>
      <c r="S61" s="12">
        <v>0</v>
      </c>
      <c r="T61" s="12">
        <v>6</v>
      </c>
      <c r="U61" s="12">
        <v>13</v>
      </c>
    </row>
    <row r="62" spans="1:21" ht="19.5" customHeight="1">
      <c r="A62" s="7">
        <v>55</v>
      </c>
      <c r="B62" s="15" t="s">
        <v>134</v>
      </c>
      <c r="C62" s="15" t="s">
        <v>135</v>
      </c>
      <c r="D62" s="12">
        <v>8</v>
      </c>
      <c r="E62" s="12">
        <v>4</v>
      </c>
      <c r="F62" s="12"/>
      <c r="G62" s="12"/>
      <c r="H62" s="12"/>
      <c r="I62" s="12"/>
      <c r="J62" s="12">
        <v>10</v>
      </c>
      <c r="K62" s="12">
        <v>8</v>
      </c>
      <c r="L62" s="12">
        <v>30</v>
      </c>
      <c r="M62" s="12">
        <v>8</v>
      </c>
      <c r="N62" s="12">
        <v>12</v>
      </c>
      <c r="O62" s="12">
        <v>5</v>
      </c>
      <c r="P62" s="12">
        <v>0</v>
      </c>
      <c r="Q62" s="12">
        <v>8</v>
      </c>
      <c r="R62" s="12">
        <v>0</v>
      </c>
      <c r="S62" s="12">
        <v>4</v>
      </c>
      <c r="T62" s="12">
        <v>0</v>
      </c>
      <c r="U62" s="12">
        <v>28</v>
      </c>
    </row>
    <row r="63" spans="1:21" ht="19.5" customHeight="1">
      <c r="A63" s="10">
        <v>56</v>
      </c>
      <c r="B63" s="15" t="s">
        <v>134</v>
      </c>
      <c r="C63" s="15" t="s">
        <v>136</v>
      </c>
      <c r="D63" s="12">
        <v>7</v>
      </c>
      <c r="E63" s="12">
        <v>12</v>
      </c>
      <c r="F63" s="12"/>
      <c r="G63" s="12"/>
      <c r="H63" s="12">
        <v>8</v>
      </c>
      <c r="I63" s="12">
        <v>0</v>
      </c>
      <c r="J63" s="12">
        <v>4</v>
      </c>
      <c r="K63" s="12">
        <v>0</v>
      </c>
      <c r="L63" s="12">
        <v>24</v>
      </c>
      <c r="M63" s="12">
        <v>7</v>
      </c>
      <c r="N63" s="12">
        <v>12</v>
      </c>
      <c r="O63" s="12"/>
      <c r="P63" s="12"/>
      <c r="Q63" s="12">
        <v>8</v>
      </c>
      <c r="R63" s="12">
        <v>0</v>
      </c>
      <c r="S63" s="12">
        <v>4</v>
      </c>
      <c r="T63" s="12">
        <v>0</v>
      </c>
      <c r="U63" s="12">
        <v>28</v>
      </c>
    </row>
    <row r="64" spans="1:21" ht="19.5" customHeight="1">
      <c r="A64" s="7">
        <v>57</v>
      </c>
      <c r="B64" s="16" t="s">
        <v>134</v>
      </c>
      <c r="C64" s="17" t="s">
        <v>137</v>
      </c>
      <c r="D64" s="18">
        <v>7</v>
      </c>
      <c r="E64" s="18">
        <v>5</v>
      </c>
      <c r="F64" s="18"/>
      <c r="G64" s="18"/>
      <c r="H64" s="18"/>
      <c r="I64" s="18"/>
      <c r="J64" s="18">
        <v>12</v>
      </c>
      <c r="K64" s="18">
        <v>3</v>
      </c>
      <c r="L64" s="18">
        <v>27</v>
      </c>
      <c r="M64" s="18">
        <v>8</v>
      </c>
      <c r="N64" s="18">
        <v>0</v>
      </c>
      <c r="O64" s="18"/>
      <c r="P64" s="18"/>
      <c r="Q64" s="18">
        <v>5</v>
      </c>
      <c r="R64" s="18">
        <v>8</v>
      </c>
      <c r="S64" s="18"/>
      <c r="T64" s="18"/>
      <c r="U64" s="18">
        <v>21</v>
      </c>
    </row>
    <row r="65" spans="1:21" ht="19.5" customHeight="1">
      <c r="A65" s="10">
        <v>58</v>
      </c>
      <c r="B65" s="19"/>
      <c r="C65" s="20" t="s">
        <v>138</v>
      </c>
      <c r="D65" s="21">
        <v>7</v>
      </c>
      <c r="E65" s="21">
        <v>3</v>
      </c>
      <c r="F65" s="20"/>
      <c r="G65" s="20"/>
      <c r="H65" s="20">
        <v>3</v>
      </c>
      <c r="I65" s="20">
        <v>1</v>
      </c>
      <c r="J65" s="20"/>
      <c r="K65" s="20"/>
      <c r="L65" s="21">
        <v>14</v>
      </c>
      <c r="M65" s="21">
        <v>7</v>
      </c>
      <c r="N65" s="21">
        <v>0</v>
      </c>
      <c r="O65" s="21"/>
      <c r="P65" s="21"/>
      <c r="Q65" s="21">
        <v>4</v>
      </c>
      <c r="R65" s="21">
        <v>0</v>
      </c>
      <c r="S65" s="21">
        <v>0</v>
      </c>
      <c r="T65" s="21">
        <v>6</v>
      </c>
      <c r="U65" s="21">
        <v>13</v>
      </c>
    </row>
    <row r="66" spans="1:21" ht="19.5" customHeight="1">
      <c r="C66" t="s">
        <v>139</v>
      </c>
    </row>
    <row r="67" spans="1:21" ht="19.5" customHeight="1"/>
    <row r="68" spans="1:21" ht="19.5" customHeight="1"/>
    <row r="69" spans="1:21" ht="19.5" customHeight="1"/>
    <row r="70" spans="1:21" ht="19.5" customHeight="1"/>
    <row r="71" spans="1:21" ht="19.5" customHeight="1"/>
    <row r="72" spans="1:21" ht="19.5" customHeight="1"/>
    <row r="73" spans="1:21" ht="19.5" customHeight="1"/>
    <row r="74" spans="1:21" ht="19.5" customHeight="1"/>
    <row r="75" spans="1:21" ht="19.5" customHeight="1"/>
    <row r="76" spans="1:21" ht="19.5" customHeight="1"/>
    <row r="77" spans="1:21" ht="19.5" customHeight="1"/>
    <row r="78" spans="1:21" ht="19.5" customHeight="1"/>
    <row r="79" spans="1:21" ht="19.5" customHeight="1"/>
    <row r="80" spans="1:21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</sheetData>
  <mergeCells count="10">
    <mergeCell ref="A1:U1"/>
    <mergeCell ref="A2:U2"/>
    <mergeCell ref="A5:U5"/>
    <mergeCell ref="A3:U3"/>
    <mergeCell ref="A4:U4"/>
    <mergeCell ref="L6:L7"/>
    <mergeCell ref="C6:C7"/>
    <mergeCell ref="B6:B7"/>
    <mergeCell ref="A6:A7"/>
    <mergeCell ref="U6:U7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FA66-C1E1-4E65-9163-02FD5AFCA5F2}">
  <dimension ref="A5:J65"/>
  <sheetViews>
    <sheetView zoomScale="94" zoomScaleNormal="40" workbookViewId="0">
      <selection activeCell="H9" sqref="H9"/>
    </sheetView>
  </sheetViews>
  <sheetFormatPr defaultRowHeight="14.5"/>
  <cols>
    <col min="2" max="2" width="13.54296875" customWidth="1"/>
    <col min="3" max="3" width="41.36328125" customWidth="1"/>
    <col min="7" max="7" width="16.36328125" customWidth="1"/>
    <col min="8" max="8" width="13.26953125" customWidth="1"/>
    <col min="9" max="9" width="13" customWidth="1"/>
    <col min="10" max="10" width="16.81640625" customWidth="1"/>
  </cols>
  <sheetData>
    <row r="5" spans="1:10" ht="15" thickBot="1"/>
    <row r="6" spans="1:10" ht="15" thickBot="1">
      <c r="A6" s="32" t="s">
        <v>5</v>
      </c>
      <c r="B6" s="32" t="s">
        <v>6</v>
      </c>
      <c r="C6" s="32" t="s">
        <v>7</v>
      </c>
      <c r="D6" s="32" t="s">
        <v>257</v>
      </c>
      <c r="E6" s="32" t="s">
        <v>258</v>
      </c>
      <c r="F6" s="32" t="s">
        <v>259</v>
      </c>
      <c r="G6" s="32" t="s">
        <v>260</v>
      </c>
      <c r="H6" s="32" t="s">
        <v>261</v>
      </c>
      <c r="I6" s="32" t="s">
        <v>262</v>
      </c>
      <c r="J6" s="32" t="s">
        <v>263</v>
      </c>
    </row>
    <row r="7" spans="1:10">
      <c r="A7" s="31"/>
      <c r="B7" s="31"/>
      <c r="C7" s="31"/>
      <c r="D7" s="31"/>
      <c r="E7" s="31"/>
      <c r="F7" s="31"/>
      <c r="G7" s="31"/>
      <c r="H7" s="31"/>
      <c r="I7" s="31"/>
      <c r="J7" s="31"/>
    </row>
    <row r="8" spans="1:10">
      <c r="A8" s="29">
        <v>1</v>
      </c>
      <c r="B8" s="29" t="s">
        <v>26</v>
      </c>
      <c r="C8" s="29" t="s">
        <v>27</v>
      </c>
      <c r="D8" s="29" cm="1">
        <f t="array" ref="D8:D65">'3rd A '!L8:L65</f>
        <v>12</v>
      </c>
      <c r="E8" s="29" cm="1">
        <f t="array" ref="E8:E65">'3rd A '!U8:U65</f>
        <v>18</v>
      </c>
      <c r="F8" s="29">
        <f>AVERAGE(D8,E8)</f>
        <v>15</v>
      </c>
      <c r="G8" s="29">
        <f>(F8/40)*25</f>
        <v>9.375</v>
      </c>
      <c r="H8" s="29"/>
      <c r="I8" s="29"/>
      <c r="J8" s="29">
        <f>G8+H8+I8</f>
        <v>9.375</v>
      </c>
    </row>
    <row r="9" spans="1:10">
      <c r="A9" s="29">
        <v>2</v>
      </c>
      <c r="B9" s="29" t="s">
        <v>28</v>
      </c>
      <c r="C9" s="29" t="s">
        <v>29</v>
      </c>
      <c r="D9" s="29">
        <v>31</v>
      </c>
      <c r="E9" s="29">
        <v>16</v>
      </c>
      <c r="F9" s="29">
        <f t="shared" ref="F9:F65" si="0">AVERAGE(D9,E9)</f>
        <v>23.5</v>
      </c>
      <c r="G9" s="29">
        <f t="shared" ref="G9:G65" si="1">(F9/40)*25</f>
        <v>14.6875</v>
      </c>
      <c r="H9" s="29"/>
      <c r="I9" s="29"/>
      <c r="J9" s="29">
        <f t="shared" ref="J9:J65" si="2">G9+H9+I9</f>
        <v>14.6875</v>
      </c>
    </row>
    <row r="10" spans="1:10">
      <c r="A10" s="29">
        <v>3</v>
      </c>
      <c r="B10" s="29" t="s">
        <v>30</v>
      </c>
      <c r="C10" s="29" t="s">
        <v>31</v>
      </c>
      <c r="D10" s="29">
        <v>27</v>
      </c>
      <c r="E10" s="29">
        <v>16</v>
      </c>
      <c r="F10" s="29">
        <f t="shared" si="0"/>
        <v>21.5</v>
      </c>
      <c r="G10" s="29">
        <f t="shared" si="1"/>
        <v>13.4375</v>
      </c>
      <c r="H10" s="29"/>
      <c r="I10" s="29"/>
      <c r="J10" s="29">
        <f t="shared" si="2"/>
        <v>13.4375</v>
      </c>
    </row>
    <row r="11" spans="1:10">
      <c r="A11" s="29">
        <v>4</v>
      </c>
      <c r="B11" s="29" t="s">
        <v>32</v>
      </c>
      <c r="C11" s="29" t="s">
        <v>33</v>
      </c>
      <c r="D11" s="29">
        <v>22</v>
      </c>
      <c r="E11" s="29">
        <v>18</v>
      </c>
      <c r="F11" s="29">
        <f t="shared" si="0"/>
        <v>20</v>
      </c>
      <c r="G11" s="29">
        <f t="shared" si="1"/>
        <v>12.5</v>
      </c>
      <c r="H11" s="29"/>
      <c r="I11" s="29"/>
      <c r="J11" s="29">
        <f t="shared" si="2"/>
        <v>12.5</v>
      </c>
    </row>
    <row r="12" spans="1:10">
      <c r="A12" s="29">
        <v>5</v>
      </c>
      <c r="B12" s="29" t="s">
        <v>34</v>
      </c>
      <c r="C12" s="29" t="s">
        <v>35</v>
      </c>
      <c r="D12" s="29">
        <v>19</v>
      </c>
      <c r="E12" s="29">
        <v>7</v>
      </c>
      <c r="F12" s="29">
        <f t="shared" si="0"/>
        <v>13</v>
      </c>
      <c r="G12" s="29">
        <f t="shared" si="1"/>
        <v>8.125</v>
      </c>
      <c r="H12" s="29"/>
      <c r="I12" s="29"/>
      <c r="J12" s="29">
        <f t="shared" si="2"/>
        <v>8.125</v>
      </c>
    </row>
    <row r="13" spans="1:10">
      <c r="A13" s="29">
        <v>6</v>
      </c>
      <c r="B13" s="29" t="s">
        <v>36</v>
      </c>
      <c r="C13" s="29" t="s">
        <v>37</v>
      </c>
      <c r="D13" s="29" t="str">
        <v>AB</v>
      </c>
      <c r="E13" s="29">
        <v>25</v>
      </c>
      <c r="F13" s="29">
        <f t="shared" si="0"/>
        <v>25</v>
      </c>
      <c r="G13" s="29">
        <f t="shared" si="1"/>
        <v>15.625</v>
      </c>
      <c r="H13" s="29"/>
      <c r="I13" s="29"/>
      <c r="J13" s="29">
        <f t="shared" si="2"/>
        <v>15.625</v>
      </c>
    </row>
    <row r="14" spans="1:10">
      <c r="A14" s="29">
        <v>7</v>
      </c>
      <c r="B14" s="29" t="s">
        <v>39</v>
      </c>
      <c r="C14" s="29" t="s">
        <v>40</v>
      </c>
      <c r="D14" s="29">
        <v>33</v>
      </c>
      <c r="E14" s="29">
        <v>32</v>
      </c>
      <c r="F14" s="29">
        <f t="shared" si="0"/>
        <v>32.5</v>
      </c>
      <c r="G14" s="29">
        <f t="shared" si="1"/>
        <v>20.3125</v>
      </c>
      <c r="H14" s="29"/>
      <c r="I14" s="29"/>
      <c r="J14" s="29">
        <f t="shared" si="2"/>
        <v>20.3125</v>
      </c>
    </row>
    <row r="15" spans="1:10">
      <c r="A15" s="29">
        <v>8</v>
      </c>
      <c r="B15" s="29" t="s">
        <v>41</v>
      </c>
      <c r="C15" s="29" t="s">
        <v>42</v>
      </c>
      <c r="D15" s="29">
        <v>30</v>
      </c>
      <c r="E15" s="29">
        <v>6</v>
      </c>
      <c r="F15" s="29">
        <f t="shared" si="0"/>
        <v>18</v>
      </c>
      <c r="G15" s="29">
        <f t="shared" si="1"/>
        <v>11.25</v>
      </c>
      <c r="H15" s="29"/>
      <c r="I15" s="29"/>
      <c r="J15" s="29">
        <f t="shared" si="2"/>
        <v>11.25</v>
      </c>
    </row>
    <row r="16" spans="1:10">
      <c r="A16" s="29">
        <v>9</v>
      </c>
      <c r="B16" s="29" t="s">
        <v>43</v>
      </c>
      <c r="C16" s="29" t="s">
        <v>44</v>
      </c>
      <c r="D16" s="29">
        <v>34</v>
      </c>
      <c r="E16" s="29">
        <v>16</v>
      </c>
      <c r="F16" s="29">
        <f t="shared" si="0"/>
        <v>25</v>
      </c>
      <c r="G16" s="29">
        <f t="shared" si="1"/>
        <v>15.625</v>
      </c>
      <c r="H16" s="29"/>
      <c r="I16" s="29"/>
      <c r="J16" s="29">
        <f t="shared" si="2"/>
        <v>15.625</v>
      </c>
    </row>
    <row r="17" spans="1:10">
      <c r="A17" s="29">
        <v>10</v>
      </c>
      <c r="B17" s="29" t="s">
        <v>45</v>
      </c>
      <c r="C17" s="29" t="s">
        <v>46</v>
      </c>
      <c r="D17" s="29">
        <v>25</v>
      </c>
      <c r="E17" s="29">
        <v>30</v>
      </c>
      <c r="F17" s="29">
        <f t="shared" si="0"/>
        <v>27.5</v>
      </c>
      <c r="G17" s="29">
        <f t="shared" si="1"/>
        <v>17.1875</v>
      </c>
      <c r="H17" s="29"/>
      <c r="I17" s="29"/>
      <c r="J17" s="29">
        <f t="shared" si="2"/>
        <v>17.1875</v>
      </c>
    </row>
    <row r="18" spans="1:10">
      <c r="A18" s="29">
        <v>11</v>
      </c>
      <c r="B18" s="29" t="s">
        <v>47</v>
      </c>
      <c r="C18" s="29" t="s">
        <v>48</v>
      </c>
      <c r="D18" s="29">
        <v>24</v>
      </c>
      <c r="E18" s="29">
        <v>5</v>
      </c>
      <c r="F18" s="29">
        <f t="shared" si="0"/>
        <v>14.5</v>
      </c>
      <c r="G18" s="29">
        <f t="shared" si="1"/>
        <v>9.0625</v>
      </c>
      <c r="H18" s="29"/>
      <c r="I18" s="29"/>
      <c r="J18" s="29">
        <f t="shared" si="2"/>
        <v>9.0625</v>
      </c>
    </row>
    <row r="19" spans="1:10">
      <c r="A19" s="29">
        <v>12</v>
      </c>
      <c r="B19" s="29" t="s">
        <v>49</v>
      </c>
      <c r="C19" s="29" t="s">
        <v>50</v>
      </c>
      <c r="D19" s="29">
        <v>35</v>
      </c>
      <c r="E19" s="29">
        <v>16</v>
      </c>
      <c r="F19" s="29">
        <f t="shared" si="0"/>
        <v>25.5</v>
      </c>
      <c r="G19" s="29">
        <f t="shared" si="1"/>
        <v>15.937499999999998</v>
      </c>
      <c r="H19" s="29"/>
      <c r="I19" s="29"/>
      <c r="J19" s="29">
        <f t="shared" si="2"/>
        <v>15.937499999999998</v>
      </c>
    </row>
    <row r="20" spans="1:10">
      <c r="A20" s="29">
        <v>13</v>
      </c>
      <c r="B20" s="29" t="s">
        <v>51</v>
      </c>
      <c r="C20" s="29" t="s">
        <v>52</v>
      </c>
      <c r="D20" s="29">
        <v>20</v>
      </c>
      <c r="E20" s="29">
        <v>6</v>
      </c>
      <c r="F20" s="29">
        <f t="shared" si="0"/>
        <v>13</v>
      </c>
      <c r="G20" s="29">
        <f t="shared" si="1"/>
        <v>8.125</v>
      </c>
      <c r="H20" s="29"/>
      <c r="I20" s="29"/>
      <c r="J20" s="29">
        <f t="shared" si="2"/>
        <v>8.125</v>
      </c>
    </row>
    <row r="21" spans="1:10">
      <c r="A21" s="29">
        <v>14</v>
      </c>
      <c r="B21" s="29" t="s">
        <v>53</v>
      </c>
      <c r="C21" s="29" t="s">
        <v>54</v>
      </c>
      <c r="D21" s="29">
        <v>28</v>
      </c>
      <c r="E21" s="29">
        <v>24</v>
      </c>
      <c r="F21" s="29">
        <f t="shared" si="0"/>
        <v>26</v>
      </c>
      <c r="G21" s="29">
        <f t="shared" si="1"/>
        <v>16.25</v>
      </c>
      <c r="H21" s="29"/>
      <c r="I21" s="29"/>
      <c r="J21" s="29">
        <f t="shared" si="2"/>
        <v>16.25</v>
      </c>
    </row>
    <row r="22" spans="1:10">
      <c r="A22" s="29">
        <v>15</v>
      </c>
      <c r="B22" s="29" t="s">
        <v>55</v>
      </c>
      <c r="C22" s="29" t="s">
        <v>56</v>
      </c>
      <c r="D22" s="29">
        <v>28</v>
      </c>
      <c r="E22" s="29">
        <v>19</v>
      </c>
      <c r="F22" s="29">
        <f t="shared" si="0"/>
        <v>23.5</v>
      </c>
      <c r="G22" s="29">
        <f t="shared" si="1"/>
        <v>14.6875</v>
      </c>
      <c r="H22" s="29"/>
      <c r="I22" s="29"/>
      <c r="J22" s="29">
        <f t="shared" si="2"/>
        <v>14.6875</v>
      </c>
    </row>
    <row r="23" spans="1:10">
      <c r="A23" s="29">
        <v>16</v>
      </c>
      <c r="B23" s="29" t="s">
        <v>57</v>
      </c>
      <c r="C23" s="29" t="s">
        <v>58</v>
      </c>
      <c r="D23" s="29">
        <v>26</v>
      </c>
      <c r="E23" s="29">
        <v>27</v>
      </c>
      <c r="F23" s="29">
        <f t="shared" si="0"/>
        <v>26.5</v>
      </c>
      <c r="G23" s="29">
        <f t="shared" si="1"/>
        <v>16.5625</v>
      </c>
      <c r="H23" s="29"/>
      <c r="I23" s="29"/>
      <c r="J23" s="29">
        <f t="shared" si="2"/>
        <v>16.5625</v>
      </c>
    </row>
    <row r="24" spans="1:10">
      <c r="A24" s="29">
        <v>17</v>
      </c>
      <c r="B24" s="29" t="s">
        <v>59</v>
      </c>
      <c r="C24" s="29" t="s">
        <v>60</v>
      </c>
      <c r="D24" s="29">
        <v>40</v>
      </c>
      <c r="E24" s="29">
        <v>40</v>
      </c>
      <c r="F24" s="29">
        <f t="shared" si="0"/>
        <v>40</v>
      </c>
      <c r="G24" s="29">
        <f t="shared" si="1"/>
        <v>25</v>
      </c>
      <c r="H24" s="29"/>
      <c r="I24" s="29"/>
      <c r="J24" s="29">
        <f t="shared" si="2"/>
        <v>25</v>
      </c>
    </row>
    <row r="25" spans="1:10">
      <c r="A25" s="29">
        <v>18</v>
      </c>
      <c r="B25" s="29" t="s">
        <v>61</v>
      </c>
      <c r="C25" s="29" t="s">
        <v>62</v>
      </c>
      <c r="D25" s="29">
        <v>21</v>
      </c>
      <c r="E25" s="29">
        <v>15</v>
      </c>
      <c r="F25" s="29">
        <f t="shared" si="0"/>
        <v>18</v>
      </c>
      <c r="G25" s="29">
        <f t="shared" si="1"/>
        <v>11.25</v>
      </c>
      <c r="H25" s="29"/>
      <c r="I25" s="29"/>
      <c r="J25" s="29">
        <f t="shared" si="2"/>
        <v>11.25</v>
      </c>
    </row>
    <row r="26" spans="1:10">
      <c r="A26" s="29">
        <v>19</v>
      </c>
      <c r="B26" s="29" t="s">
        <v>63</v>
      </c>
      <c r="C26" s="29" t="s">
        <v>64</v>
      </c>
      <c r="D26" s="29">
        <v>35</v>
      </c>
      <c r="E26" s="29">
        <v>40</v>
      </c>
      <c r="F26" s="29">
        <f t="shared" si="0"/>
        <v>37.5</v>
      </c>
      <c r="G26" s="29">
        <f t="shared" si="1"/>
        <v>23.4375</v>
      </c>
      <c r="H26" s="29"/>
      <c r="I26" s="29"/>
      <c r="J26" s="29">
        <f t="shared" si="2"/>
        <v>23.4375</v>
      </c>
    </row>
    <row r="27" spans="1:10">
      <c r="A27" s="29">
        <v>20</v>
      </c>
      <c r="B27" s="29" t="s">
        <v>65</v>
      </c>
      <c r="C27" s="29" t="s">
        <v>66</v>
      </c>
      <c r="D27" s="29">
        <v>24</v>
      </c>
      <c r="E27" s="29">
        <v>27</v>
      </c>
      <c r="F27" s="29">
        <f t="shared" si="0"/>
        <v>25.5</v>
      </c>
      <c r="G27" s="29">
        <f t="shared" si="1"/>
        <v>15.937499999999998</v>
      </c>
      <c r="H27" s="29"/>
      <c r="I27" s="29"/>
      <c r="J27" s="29">
        <f t="shared" si="2"/>
        <v>15.937499999999998</v>
      </c>
    </row>
    <row r="28" spans="1:10">
      <c r="A28" s="29">
        <v>21</v>
      </c>
      <c r="B28" s="29" t="s">
        <v>67</v>
      </c>
      <c r="C28" s="29" t="s">
        <v>68</v>
      </c>
      <c r="D28" s="29">
        <v>25</v>
      </c>
      <c r="E28" s="29">
        <v>16</v>
      </c>
      <c r="F28" s="29">
        <f t="shared" si="0"/>
        <v>20.5</v>
      </c>
      <c r="G28" s="29">
        <f t="shared" si="1"/>
        <v>12.812499999999998</v>
      </c>
      <c r="H28" s="29"/>
      <c r="I28" s="29"/>
      <c r="J28" s="29">
        <f t="shared" si="2"/>
        <v>12.812499999999998</v>
      </c>
    </row>
    <row r="29" spans="1:10">
      <c r="A29" s="29">
        <v>22</v>
      </c>
      <c r="B29" s="29" t="s">
        <v>69</v>
      </c>
      <c r="C29" s="29" t="s">
        <v>70</v>
      </c>
      <c r="D29" s="29">
        <v>37</v>
      </c>
      <c r="E29" s="29">
        <v>36</v>
      </c>
      <c r="F29" s="29">
        <f t="shared" si="0"/>
        <v>36.5</v>
      </c>
      <c r="G29" s="29">
        <f t="shared" si="1"/>
        <v>22.8125</v>
      </c>
      <c r="H29" s="29"/>
      <c r="I29" s="29"/>
      <c r="J29" s="29">
        <f t="shared" si="2"/>
        <v>22.8125</v>
      </c>
    </row>
    <row r="30" spans="1:10">
      <c r="A30" s="29">
        <v>23</v>
      </c>
      <c r="B30" s="29" t="s">
        <v>71</v>
      </c>
      <c r="C30" s="29" t="s">
        <v>72</v>
      </c>
      <c r="D30" s="29">
        <v>24</v>
      </c>
      <c r="E30" s="29">
        <v>38</v>
      </c>
      <c r="F30" s="29">
        <f t="shared" si="0"/>
        <v>31</v>
      </c>
      <c r="G30" s="29">
        <f t="shared" si="1"/>
        <v>19.375</v>
      </c>
      <c r="H30" s="29"/>
      <c r="I30" s="29"/>
      <c r="J30" s="29">
        <f t="shared" si="2"/>
        <v>19.375</v>
      </c>
    </row>
    <row r="31" spans="1:10">
      <c r="A31" s="29">
        <v>24</v>
      </c>
      <c r="B31" s="29" t="s">
        <v>73</v>
      </c>
      <c r="C31" s="29" t="s">
        <v>74</v>
      </c>
      <c r="D31" s="29">
        <v>33</v>
      </c>
      <c r="E31" s="29">
        <v>25</v>
      </c>
      <c r="F31" s="29">
        <f t="shared" si="0"/>
        <v>29</v>
      </c>
      <c r="G31" s="29">
        <f t="shared" si="1"/>
        <v>18.125</v>
      </c>
      <c r="H31" s="29"/>
      <c r="I31" s="29"/>
      <c r="J31" s="29">
        <f t="shared" si="2"/>
        <v>18.125</v>
      </c>
    </row>
    <row r="32" spans="1:10">
      <c r="A32" s="29">
        <v>25</v>
      </c>
      <c r="B32" s="29" t="s">
        <v>75</v>
      </c>
      <c r="C32" s="29" t="s">
        <v>76</v>
      </c>
      <c r="D32" s="29">
        <v>28</v>
      </c>
      <c r="E32" s="29">
        <v>17</v>
      </c>
      <c r="F32" s="29">
        <f t="shared" si="0"/>
        <v>22.5</v>
      </c>
      <c r="G32" s="29">
        <f t="shared" si="1"/>
        <v>14.0625</v>
      </c>
      <c r="H32" s="29"/>
      <c r="I32" s="29"/>
      <c r="J32" s="29">
        <f t="shared" si="2"/>
        <v>14.0625</v>
      </c>
    </row>
    <row r="33" spans="1:10">
      <c r="A33" s="29">
        <v>26</v>
      </c>
      <c r="B33" s="29" t="s">
        <v>77</v>
      </c>
      <c r="C33" s="29" t="s">
        <v>78</v>
      </c>
      <c r="D33" s="29">
        <v>25</v>
      </c>
      <c r="E33" s="29">
        <v>26</v>
      </c>
      <c r="F33" s="29">
        <f t="shared" si="0"/>
        <v>25.5</v>
      </c>
      <c r="G33" s="29">
        <f t="shared" si="1"/>
        <v>15.937499999999998</v>
      </c>
      <c r="H33" s="29"/>
      <c r="I33" s="29"/>
      <c r="J33" s="29">
        <f t="shared" si="2"/>
        <v>15.937499999999998</v>
      </c>
    </row>
    <row r="34" spans="1:10">
      <c r="A34" s="29">
        <v>27</v>
      </c>
      <c r="B34" s="29" t="s">
        <v>79</v>
      </c>
      <c r="C34" s="29" t="s">
        <v>80</v>
      </c>
      <c r="D34" s="29">
        <v>22</v>
      </c>
      <c r="E34" s="29">
        <v>6</v>
      </c>
      <c r="F34" s="29">
        <f t="shared" si="0"/>
        <v>14</v>
      </c>
      <c r="G34" s="29">
        <f t="shared" si="1"/>
        <v>8.75</v>
      </c>
      <c r="H34" s="29"/>
      <c r="I34" s="29"/>
      <c r="J34" s="29">
        <f t="shared" si="2"/>
        <v>8.75</v>
      </c>
    </row>
    <row r="35" spans="1:10">
      <c r="A35" s="29">
        <v>28</v>
      </c>
      <c r="B35" s="29" t="s">
        <v>81</v>
      </c>
      <c r="C35" s="29" t="s">
        <v>82</v>
      </c>
      <c r="D35" s="29">
        <v>11</v>
      </c>
      <c r="E35" s="29">
        <v>22</v>
      </c>
      <c r="F35" s="29">
        <f t="shared" si="0"/>
        <v>16.5</v>
      </c>
      <c r="G35" s="29">
        <f t="shared" si="1"/>
        <v>10.3125</v>
      </c>
      <c r="H35" s="29"/>
      <c r="I35" s="29"/>
      <c r="J35" s="29">
        <f t="shared" si="2"/>
        <v>10.3125</v>
      </c>
    </row>
    <row r="36" spans="1:10">
      <c r="A36" s="29">
        <v>29</v>
      </c>
      <c r="B36" s="29" t="s">
        <v>83</v>
      </c>
      <c r="C36" s="29" t="s">
        <v>84</v>
      </c>
      <c r="D36" s="29">
        <v>19</v>
      </c>
      <c r="E36" s="29">
        <v>14</v>
      </c>
      <c r="F36" s="29">
        <f t="shared" si="0"/>
        <v>16.5</v>
      </c>
      <c r="G36" s="29">
        <f t="shared" si="1"/>
        <v>10.3125</v>
      </c>
      <c r="H36" s="29"/>
      <c r="I36" s="29"/>
      <c r="J36" s="29">
        <f t="shared" si="2"/>
        <v>10.3125</v>
      </c>
    </row>
    <row r="37" spans="1:10">
      <c r="A37" s="29">
        <v>30</v>
      </c>
      <c r="B37" s="29" t="s">
        <v>85</v>
      </c>
      <c r="C37" s="29" t="s">
        <v>86</v>
      </c>
      <c r="D37" s="29">
        <v>40</v>
      </c>
      <c r="E37" s="29">
        <v>39</v>
      </c>
      <c r="F37" s="29">
        <f t="shared" si="0"/>
        <v>39.5</v>
      </c>
      <c r="G37" s="29">
        <f t="shared" si="1"/>
        <v>24.6875</v>
      </c>
      <c r="H37" s="29"/>
      <c r="I37" s="29"/>
      <c r="J37" s="29">
        <f t="shared" si="2"/>
        <v>24.6875</v>
      </c>
    </row>
    <row r="38" spans="1:10">
      <c r="A38" s="29">
        <v>31</v>
      </c>
      <c r="B38" s="29" t="s">
        <v>87</v>
      </c>
      <c r="C38" s="29" t="s">
        <v>88</v>
      </c>
      <c r="D38" s="29">
        <v>9</v>
      </c>
      <c r="E38" s="29">
        <v>14</v>
      </c>
      <c r="F38" s="29">
        <f t="shared" si="0"/>
        <v>11.5</v>
      </c>
      <c r="G38" s="29">
        <f t="shared" si="1"/>
        <v>7.1874999999999991</v>
      </c>
      <c r="H38" s="29"/>
      <c r="I38" s="29"/>
      <c r="J38" s="29">
        <f t="shared" si="2"/>
        <v>7.1874999999999991</v>
      </c>
    </row>
    <row r="39" spans="1:10">
      <c r="A39" s="29">
        <v>32</v>
      </c>
      <c r="B39" s="29" t="s">
        <v>89</v>
      </c>
      <c r="C39" s="29" t="s">
        <v>90</v>
      </c>
      <c r="D39" s="29">
        <v>20</v>
      </c>
      <c r="E39" s="29">
        <v>17</v>
      </c>
      <c r="F39" s="29">
        <f t="shared" si="0"/>
        <v>18.5</v>
      </c>
      <c r="G39" s="29">
        <f t="shared" si="1"/>
        <v>11.5625</v>
      </c>
      <c r="H39" s="29"/>
      <c r="I39" s="29"/>
      <c r="J39" s="29">
        <f t="shared" si="2"/>
        <v>11.5625</v>
      </c>
    </row>
    <row r="40" spans="1:10">
      <c r="A40" s="29">
        <v>33</v>
      </c>
      <c r="B40" s="29" t="s">
        <v>91</v>
      </c>
      <c r="C40" s="29" t="s">
        <v>92</v>
      </c>
      <c r="D40" s="29">
        <v>38</v>
      </c>
      <c r="E40" s="29">
        <v>35</v>
      </c>
      <c r="F40" s="29">
        <f t="shared" si="0"/>
        <v>36.5</v>
      </c>
      <c r="G40" s="29">
        <f t="shared" si="1"/>
        <v>22.8125</v>
      </c>
      <c r="H40" s="29"/>
      <c r="I40" s="29"/>
      <c r="J40" s="29">
        <f t="shared" si="2"/>
        <v>22.8125</v>
      </c>
    </row>
    <row r="41" spans="1:10">
      <c r="A41" s="29">
        <v>34</v>
      </c>
      <c r="B41" s="29" t="s">
        <v>93</v>
      </c>
      <c r="C41" s="29" t="s">
        <v>94</v>
      </c>
      <c r="D41" s="29">
        <v>30</v>
      </c>
      <c r="E41" s="29">
        <v>16</v>
      </c>
      <c r="F41" s="29">
        <f t="shared" si="0"/>
        <v>23</v>
      </c>
      <c r="G41" s="29">
        <f t="shared" si="1"/>
        <v>14.374999999999998</v>
      </c>
      <c r="H41" s="29"/>
      <c r="I41" s="29"/>
      <c r="J41" s="29">
        <f t="shared" si="2"/>
        <v>14.374999999999998</v>
      </c>
    </row>
    <row r="42" spans="1:10">
      <c r="A42" s="29">
        <v>35</v>
      </c>
      <c r="B42" s="29" t="s">
        <v>95</v>
      </c>
      <c r="C42" s="29" t="s">
        <v>96</v>
      </c>
      <c r="D42" s="29">
        <v>40</v>
      </c>
      <c r="E42" s="29">
        <v>38</v>
      </c>
      <c r="F42" s="29">
        <f t="shared" si="0"/>
        <v>39</v>
      </c>
      <c r="G42" s="29">
        <f t="shared" si="1"/>
        <v>24.375</v>
      </c>
      <c r="H42" s="29"/>
      <c r="I42" s="29"/>
      <c r="J42" s="29">
        <f t="shared" si="2"/>
        <v>24.375</v>
      </c>
    </row>
    <row r="43" spans="1:10">
      <c r="A43" s="29">
        <v>36</v>
      </c>
      <c r="B43" s="29" t="s">
        <v>97</v>
      </c>
      <c r="C43" s="29" t="s">
        <v>98</v>
      </c>
      <c r="D43" s="29">
        <v>37</v>
      </c>
      <c r="E43" s="29">
        <v>40</v>
      </c>
      <c r="F43" s="29">
        <f t="shared" si="0"/>
        <v>38.5</v>
      </c>
      <c r="G43" s="29">
        <f t="shared" si="1"/>
        <v>24.0625</v>
      </c>
      <c r="H43" s="29"/>
      <c r="I43" s="29"/>
      <c r="J43" s="29">
        <f t="shared" si="2"/>
        <v>24.0625</v>
      </c>
    </row>
    <row r="44" spans="1:10">
      <c r="A44" s="29">
        <v>37</v>
      </c>
      <c r="B44" s="29" t="s">
        <v>99</v>
      </c>
      <c r="C44" s="29" t="s">
        <v>100</v>
      </c>
      <c r="D44" s="29">
        <v>23</v>
      </c>
      <c r="E44" s="29">
        <v>10</v>
      </c>
      <c r="F44" s="29">
        <f t="shared" si="0"/>
        <v>16.5</v>
      </c>
      <c r="G44" s="29">
        <f t="shared" si="1"/>
        <v>10.3125</v>
      </c>
      <c r="H44" s="29"/>
      <c r="I44" s="29"/>
      <c r="J44" s="29">
        <f t="shared" si="2"/>
        <v>10.3125</v>
      </c>
    </row>
    <row r="45" spans="1:10">
      <c r="A45" s="29">
        <v>38</v>
      </c>
      <c r="B45" s="29" t="s">
        <v>101</v>
      </c>
      <c r="C45" s="29" t="s">
        <v>102</v>
      </c>
      <c r="D45" s="29">
        <v>28</v>
      </c>
      <c r="E45" s="29">
        <v>24</v>
      </c>
      <c r="F45" s="29">
        <f t="shared" si="0"/>
        <v>26</v>
      </c>
      <c r="G45" s="29">
        <f t="shared" si="1"/>
        <v>16.25</v>
      </c>
      <c r="H45" s="29"/>
      <c r="I45" s="29"/>
      <c r="J45" s="29">
        <f t="shared" si="2"/>
        <v>16.25</v>
      </c>
    </row>
    <row r="46" spans="1:10">
      <c r="A46" s="29">
        <v>39</v>
      </c>
      <c r="B46" s="29" t="s">
        <v>103</v>
      </c>
      <c r="C46" s="29" t="s">
        <v>104</v>
      </c>
      <c r="D46" s="29">
        <v>34</v>
      </c>
      <c r="E46" s="29">
        <v>40</v>
      </c>
      <c r="F46" s="29">
        <f t="shared" si="0"/>
        <v>37</v>
      </c>
      <c r="G46" s="29">
        <f t="shared" si="1"/>
        <v>23.125</v>
      </c>
      <c r="H46" s="29"/>
      <c r="I46" s="29"/>
      <c r="J46" s="29">
        <f t="shared" si="2"/>
        <v>23.125</v>
      </c>
    </row>
    <row r="47" spans="1:10">
      <c r="A47" s="29">
        <v>40</v>
      </c>
      <c r="B47" s="29" t="s">
        <v>105</v>
      </c>
      <c r="C47" s="29" t="s">
        <v>106</v>
      </c>
      <c r="D47" s="29">
        <v>23</v>
      </c>
      <c r="E47" s="29">
        <v>28</v>
      </c>
      <c r="F47" s="29">
        <f t="shared" si="0"/>
        <v>25.5</v>
      </c>
      <c r="G47" s="29">
        <f t="shared" si="1"/>
        <v>15.937499999999998</v>
      </c>
      <c r="H47" s="29"/>
      <c r="I47" s="29"/>
      <c r="J47" s="29">
        <f t="shared" si="2"/>
        <v>15.937499999999998</v>
      </c>
    </row>
    <row r="48" spans="1:10">
      <c r="A48" s="29">
        <v>41</v>
      </c>
      <c r="B48" s="29" t="s">
        <v>107</v>
      </c>
      <c r="C48" s="29" t="s">
        <v>106</v>
      </c>
      <c r="D48" s="29">
        <v>22</v>
      </c>
      <c r="E48" s="29">
        <v>20</v>
      </c>
      <c r="F48" s="29">
        <f t="shared" si="0"/>
        <v>21</v>
      </c>
      <c r="G48" s="29">
        <f t="shared" si="1"/>
        <v>13.125</v>
      </c>
      <c r="H48" s="29"/>
      <c r="I48" s="29"/>
      <c r="J48" s="29">
        <f t="shared" si="2"/>
        <v>13.125</v>
      </c>
    </row>
    <row r="49" spans="1:10">
      <c r="A49" s="29">
        <v>42</v>
      </c>
      <c r="B49" s="29" t="s">
        <v>108</v>
      </c>
      <c r="C49" s="29" t="s">
        <v>109</v>
      </c>
      <c r="D49" s="29">
        <v>30</v>
      </c>
      <c r="E49" s="29">
        <v>30</v>
      </c>
      <c r="F49" s="29">
        <f t="shared" si="0"/>
        <v>30</v>
      </c>
      <c r="G49" s="29">
        <f t="shared" si="1"/>
        <v>18.75</v>
      </c>
      <c r="H49" s="29"/>
      <c r="I49" s="29"/>
      <c r="J49" s="29">
        <f t="shared" si="2"/>
        <v>18.75</v>
      </c>
    </row>
    <row r="50" spans="1:10">
      <c r="A50" s="29">
        <v>43</v>
      </c>
      <c r="B50" s="29" t="s">
        <v>110</v>
      </c>
      <c r="C50" s="29" t="s">
        <v>111</v>
      </c>
      <c r="D50" s="29">
        <v>38</v>
      </c>
      <c r="E50" s="29">
        <v>40</v>
      </c>
      <c r="F50" s="29">
        <f t="shared" si="0"/>
        <v>39</v>
      </c>
      <c r="G50" s="29">
        <f t="shared" si="1"/>
        <v>24.375</v>
      </c>
      <c r="H50" s="29"/>
      <c r="I50" s="29"/>
      <c r="J50" s="29">
        <f t="shared" si="2"/>
        <v>24.375</v>
      </c>
    </row>
    <row r="51" spans="1:10">
      <c r="A51" s="29">
        <v>44</v>
      </c>
      <c r="B51" s="29" t="s">
        <v>112</v>
      </c>
      <c r="C51" s="29" t="s">
        <v>113</v>
      </c>
      <c r="D51" s="29">
        <v>39</v>
      </c>
      <c r="E51" s="29">
        <v>30</v>
      </c>
      <c r="F51" s="29">
        <f t="shared" si="0"/>
        <v>34.5</v>
      </c>
      <c r="G51" s="29">
        <f t="shared" si="1"/>
        <v>21.5625</v>
      </c>
      <c r="H51" s="29"/>
      <c r="I51" s="29"/>
      <c r="J51" s="29">
        <f t="shared" si="2"/>
        <v>21.5625</v>
      </c>
    </row>
    <row r="52" spans="1:10">
      <c r="A52" s="29">
        <v>45</v>
      </c>
      <c r="B52" s="29" t="s">
        <v>114</v>
      </c>
      <c r="C52" s="29" t="s">
        <v>115</v>
      </c>
      <c r="D52" s="29">
        <v>36</v>
      </c>
      <c r="E52" s="29">
        <v>38</v>
      </c>
      <c r="F52" s="29">
        <f t="shared" si="0"/>
        <v>37</v>
      </c>
      <c r="G52" s="29">
        <f t="shared" si="1"/>
        <v>23.125</v>
      </c>
      <c r="H52" s="29"/>
      <c r="I52" s="29"/>
      <c r="J52" s="29">
        <f t="shared" si="2"/>
        <v>23.125</v>
      </c>
    </row>
    <row r="53" spans="1:10">
      <c r="A53" s="29">
        <v>46</v>
      </c>
      <c r="B53" s="29" t="s">
        <v>116</v>
      </c>
      <c r="C53" s="29" t="s">
        <v>117</v>
      </c>
      <c r="D53" s="29">
        <v>35</v>
      </c>
      <c r="E53" s="29">
        <v>12</v>
      </c>
      <c r="F53" s="29">
        <f t="shared" si="0"/>
        <v>23.5</v>
      </c>
      <c r="G53" s="29">
        <f t="shared" si="1"/>
        <v>14.6875</v>
      </c>
      <c r="H53" s="29"/>
      <c r="I53" s="29"/>
      <c r="J53" s="29">
        <f t="shared" si="2"/>
        <v>14.6875</v>
      </c>
    </row>
    <row r="54" spans="1:10">
      <c r="A54" s="29">
        <v>47</v>
      </c>
      <c r="B54" s="29" t="s">
        <v>118</v>
      </c>
      <c r="C54" s="29" t="s">
        <v>119</v>
      </c>
      <c r="D54" s="29">
        <v>26</v>
      </c>
      <c r="E54" s="29">
        <v>4</v>
      </c>
      <c r="F54" s="29">
        <f t="shared" si="0"/>
        <v>15</v>
      </c>
      <c r="G54" s="29">
        <f t="shared" si="1"/>
        <v>9.375</v>
      </c>
      <c r="H54" s="29"/>
      <c r="I54" s="29"/>
      <c r="J54" s="29">
        <f t="shared" si="2"/>
        <v>9.375</v>
      </c>
    </row>
    <row r="55" spans="1:10">
      <c r="A55" s="29">
        <v>48</v>
      </c>
      <c r="B55" s="29" t="s">
        <v>120</v>
      </c>
      <c r="C55" s="29" t="s">
        <v>121</v>
      </c>
      <c r="D55" s="29">
        <v>12</v>
      </c>
      <c r="E55" s="29">
        <v>18</v>
      </c>
      <c r="F55" s="29">
        <f t="shared" si="0"/>
        <v>15</v>
      </c>
      <c r="G55" s="29">
        <f t="shared" si="1"/>
        <v>9.375</v>
      </c>
      <c r="H55" s="29"/>
      <c r="I55" s="29"/>
      <c r="J55" s="29">
        <f t="shared" si="2"/>
        <v>9.375</v>
      </c>
    </row>
    <row r="56" spans="1:10">
      <c r="A56" s="29">
        <v>49</v>
      </c>
      <c r="B56" s="29" t="s">
        <v>122</v>
      </c>
      <c r="C56" s="29" t="s">
        <v>123</v>
      </c>
      <c r="D56" s="29">
        <v>39</v>
      </c>
      <c r="E56" s="29">
        <v>40</v>
      </c>
      <c r="F56" s="29">
        <f t="shared" si="0"/>
        <v>39.5</v>
      </c>
      <c r="G56" s="29">
        <f t="shared" si="1"/>
        <v>24.6875</v>
      </c>
      <c r="H56" s="29"/>
      <c r="I56" s="29"/>
      <c r="J56" s="29">
        <f t="shared" si="2"/>
        <v>24.6875</v>
      </c>
    </row>
    <row r="57" spans="1:10">
      <c r="A57" s="29">
        <v>50</v>
      </c>
      <c r="B57" s="29" t="s">
        <v>124</v>
      </c>
      <c r="C57" s="29" t="s">
        <v>125</v>
      </c>
      <c r="D57" s="29">
        <v>26</v>
      </c>
      <c r="E57" s="29">
        <v>34</v>
      </c>
      <c r="F57" s="29">
        <f t="shared" si="0"/>
        <v>30</v>
      </c>
      <c r="G57" s="29">
        <f t="shared" si="1"/>
        <v>18.75</v>
      </c>
      <c r="H57" s="29"/>
      <c r="I57" s="29"/>
      <c r="J57" s="29">
        <f t="shared" si="2"/>
        <v>18.75</v>
      </c>
    </row>
    <row r="58" spans="1:10">
      <c r="A58" s="29">
        <v>51</v>
      </c>
      <c r="B58" s="29" t="s">
        <v>126</v>
      </c>
      <c r="C58" s="29" t="s">
        <v>127</v>
      </c>
      <c r="D58" s="29">
        <v>29</v>
      </c>
      <c r="E58" s="29">
        <v>4</v>
      </c>
      <c r="F58" s="29">
        <f t="shared" si="0"/>
        <v>16.5</v>
      </c>
      <c r="G58" s="29">
        <f t="shared" si="1"/>
        <v>10.3125</v>
      </c>
      <c r="H58" s="29"/>
      <c r="I58" s="29"/>
      <c r="J58" s="29">
        <f t="shared" si="2"/>
        <v>10.3125</v>
      </c>
    </row>
    <row r="59" spans="1:10">
      <c r="A59" s="29">
        <v>52</v>
      </c>
      <c r="B59" s="29" t="s">
        <v>128</v>
      </c>
      <c r="C59" s="29" t="s">
        <v>129</v>
      </c>
      <c r="D59" s="29">
        <v>30</v>
      </c>
      <c r="E59" s="29">
        <v>24</v>
      </c>
      <c r="F59" s="29">
        <f t="shared" si="0"/>
        <v>27</v>
      </c>
      <c r="G59" s="29">
        <f t="shared" si="1"/>
        <v>16.875</v>
      </c>
      <c r="H59" s="29"/>
      <c r="I59" s="29"/>
      <c r="J59" s="29">
        <f t="shared" si="2"/>
        <v>16.875</v>
      </c>
    </row>
    <row r="60" spans="1:10">
      <c r="A60" s="29">
        <v>53</v>
      </c>
      <c r="B60" s="29" t="s">
        <v>130</v>
      </c>
      <c r="C60" s="29" t="s">
        <v>131</v>
      </c>
      <c r="D60" s="29">
        <v>14</v>
      </c>
      <c r="E60" s="29">
        <v>13</v>
      </c>
      <c r="F60" s="29">
        <f t="shared" si="0"/>
        <v>13.5</v>
      </c>
      <c r="G60" s="29">
        <f t="shared" si="1"/>
        <v>8.4375</v>
      </c>
      <c r="H60" s="29"/>
      <c r="I60" s="29"/>
      <c r="J60" s="29">
        <f t="shared" si="2"/>
        <v>8.4375</v>
      </c>
    </row>
    <row r="61" spans="1:10">
      <c r="A61" s="29">
        <v>54</v>
      </c>
      <c r="B61" s="29" t="s">
        <v>132</v>
      </c>
      <c r="C61" s="29" t="s">
        <v>133</v>
      </c>
      <c r="D61" s="29">
        <v>14</v>
      </c>
      <c r="E61" s="29">
        <v>13</v>
      </c>
      <c r="F61" s="29">
        <f t="shared" si="0"/>
        <v>13.5</v>
      </c>
      <c r="G61" s="29">
        <f t="shared" si="1"/>
        <v>8.4375</v>
      </c>
      <c r="H61" s="29"/>
      <c r="I61" s="29"/>
      <c r="J61" s="29">
        <f t="shared" si="2"/>
        <v>8.4375</v>
      </c>
    </row>
    <row r="62" spans="1:10">
      <c r="A62" s="29">
        <v>55</v>
      </c>
      <c r="B62" s="29" t="s">
        <v>134</v>
      </c>
      <c r="C62" s="29" t="s">
        <v>135</v>
      </c>
      <c r="D62" s="29">
        <v>30</v>
      </c>
      <c r="E62" s="29">
        <v>28</v>
      </c>
      <c r="F62" s="29">
        <f t="shared" si="0"/>
        <v>29</v>
      </c>
      <c r="G62" s="29">
        <f t="shared" si="1"/>
        <v>18.125</v>
      </c>
      <c r="H62" s="29"/>
      <c r="I62" s="29"/>
      <c r="J62" s="29">
        <f t="shared" si="2"/>
        <v>18.125</v>
      </c>
    </row>
    <row r="63" spans="1:10">
      <c r="A63" s="29">
        <v>56</v>
      </c>
      <c r="B63" s="29" t="s">
        <v>134</v>
      </c>
      <c r="C63" s="29" t="s">
        <v>136</v>
      </c>
      <c r="D63" s="29">
        <v>24</v>
      </c>
      <c r="E63" s="29">
        <v>28</v>
      </c>
      <c r="F63" s="29">
        <f t="shared" si="0"/>
        <v>26</v>
      </c>
      <c r="G63" s="29">
        <f t="shared" si="1"/>
        <v>16.25</v>
      </c>
      <c r="H63" s="29"/>
      <c r="I63" s="29"/>
      <c r="J63" s="29">
        <f t="shared" si="2"/>
        <v>16.25</v>
      </c>
    </row>
    <row r="64" spans="1:10">
      <c r="A64" s="29">
        <v>57</v>
      </c>
      <c r="B64" s="29" t="s">
        <v>134</v>
      </c>
      <c r="C64" s="29" t="s">
        <v>137</v>
      </c>
      <c r="D64" s="29">
        <v>27</v>
      </c>
      <c r="E64" s="29">
        <v>21</v>
      </c>
      <c r="F64" s="29">
        <f t="shared" si="0"/>
        <v>24</v>
      </c>
      <c r="G64" s="29">
        <f t="shared" si="1"/>
        <v>15</v>
      </c>
      <c r="H64" s="29"/>
      <c r="I64" s="29"/>
      <c r="J64" s="29">
        <f t="shared" si="2"/>
        <v>15</v>
      </c>
    </row>
    <row r="65" spans="1:10">
      <c r="A65" s="29">
        <v>58</v>
      </c>
      <c r="B65" s="29"/>
      <c r="C65" s="29" t="s">
        <v>138</v>
      </c>
      <c r="D65" s="29">
        <v>14</v>
      </c>
      <c r="E65" s="29">
        <v>13</v>
      </c>
      <c r="F65" s="29">
        <f t="shared" si="0"/>
        <v>13.5</v>
      </c>
      <c r="G65" s="29">
        <f t="shared" si="1"/>
        <v>8.4375</v>
      </c>
      <c r="H65" s="29"/>
      <c r="I65" s="29"/>
      <c r="J65" s="29">
        <f t="shared" si="2"/>
        <v>8.4375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482C-6CC3-4805-BABB-1AC80E67D806}">
  <dimension ref="A5:F65"/>
  <sheetViews>
    <sheetView topLeftCell="A61" workbookViewId="0">
      <selection activeCell="C70" sqref="C70"/>
    </sheetView>
  </sheetViews>
  <sheetFormatPr defaultRowHeight="14.5"/>
  <cols>
    <col min="2" max="2" width="15.7265625" customWidth="1"/>
    <col min="3" max="3" width="35.26953125" customWidth="1"/>
  </cols>
  <sheetData>
    <row r="5" spans="1:6" ht="15" thickBot="1"/>
    <row r="6" spans="1:6" ht="15" thickBot="1">
      <c r="A6" s="32" t="s">
        <v>5</v>
      </c>
      <c r="B6" s="32" t="s">
        <v>6</v>
      </c>
      <c r="C6" s="33" t="s">
        <v>7</v>
      </c>
      <c r="D6" s="32" t="s">
        <v>264</v>
      </c>
      <c r="E6" s="32" t="s">
        <v>265</v>
      </c>
      <c r="F6" s="32" t="s">
        <v>10</v>
      </c>
    </row>
    <row r="7" spans="1:6">
      <c r="A7" s="31"/>
      <c r="B7" s="31"/>
      <c r="C7" s="34"/>
      <c r="D7" s="31"/>
      <c r="E7" s="31"/>
      <c r="F7" s="31"/>
    </row>
    <row r="8" spans="1:6">
      <c r="A8" s="29">
        <v>1</v>
      </c>
      <c r="B8" s="29" t="s">
        <v>26</v>
      </c>
      <c r="C8" s="30" t="s">
        <v>27</v>
      </c>
      <c r="D8" s="29" cm="1">
        <f t="array" ref="D8:D65">'3rdA_internal'!J8:J65</f>
        <v>9.375</v>
      </c>
      <c r="E8" s="29"/>
      <c r="F8" s="29">
        <f>D8+E8</f>
        <v>9.375</v>
      </c>
    </row>
    <row r="9" spans="1:6">
      <c r="A9" s="29">
        <v>2</v>
      </c>
      <c r="B9" s="29" t="s">
        <v>28</v>
      </c>
      <c r="C9" s="30" t="s">
        <v>29</v>
      </c>
      <c r="D9" s="29">
        <v>14.6875</v>
      </c>
      <c r="E9" s="29"/>
      <c r="F9" s="29">
        <f t="shared" ref="F9:F65" si="0">D9+E9</f>
        <v>14.6875</v>
      </c>
    </row>
    <row r="10" spans="1:6">
      <c r="A10" s="29">
        <v>3</v>
      </c>
      <c r="B10" s="29" t="s">
        <v>30</v>
      </c>
      <c r="C10" s="30" t="s">
        <v>31</v>
      </c>
      <c r="D10" s="29">
        <v>13.4375</v>
      </c>
      <c r="E10" s="29"/>
      <c r="F10" s="29">
        <f t="shared" si="0"/>
        <v>13.4375</v>
      </c>
    </row>
    <row r="11" spans="1:6">
      <c r="A11" s="29">
        <v>4</v>
      </c>
      <c r="B11" s="29" t="s">
        <v>32</v>
      </c>
      <c r="C11" s="30" t="s">
        <v>33</v>
      </c>
      <c r="D11" s="29">
        <v>12.5</v>
      </c>
      <c r="E11" s="29"/>
      <c r="F11" s="29">
        <f t="shared" si="0"/>
        <v>12.5</v>
      </c>
    </row>
    <row r="12" spans="1:6">
      <c r="A12" s="29">
        <v>5</v>
      </c>
      <c r="B12" s="29" t="s">
        <v>34</v>
      </c>
      <c r="C12" s="30" t="s">
        <v>35</v>
      </c>
      <c r="D12" s="29">
        <v>8.125</v>
      </c>
      <c r="E12" s="29"/>
      <c r="F12" s="29">
        <f t="shared" si="0"/>
        <v>8.125</v>
      </c>
    </row>
    <row r="13" spans="1:6">
      <c r="A13" s="29">
        <v>6</v>
      </c>
      <c r="B13" s="29" t="s">
        <v>36</v>
      </c>
      <c r="C13" s="30" t="s">
        <v>37</v>
      </c>
      <c r="D13" s="29">
        <v>15.625</v>
      </c>
      <c r="E13" s="29"/>
      <c r="F13" s="29">
        <f t="shared" si="0"/>
        <v>15.625</v>
      </c>
    </row>
    <row r="14" spans="1:6">
      <c r="A14" s="29">
        <v>7</v>
      </c>
      <c r="B14" s="29" t="s">
        <v>39</v>
      </c>
      <c r="C14" s="30" t="s">
        <v>40</v>
      </c>
      <c r="D14" s="29">
        <v>20.3125</v>
      </c>
      <c r="E14" s="29"/>
      <c r="F14" s="29">
        <f t="shared" si="0"/>
        <v>20.3125</v>
      </c>
    </row>
    <row r="15" spans="1:6">
      <c r="A15" s="29">
        <v>8</v>
      </c>
      <c r="B15" s="29" t="s">
        <v>41</v>
      </c>
      <c r="C15" s="30" t="s">
        <v>42</v>
      </c>
      <c r="D15" s="29">
        <v>11.25</v>
      </c>
      <c r="E15" s="29"/>
      <c r="F15" s="29">
        <f t="shared" si="0"/>
        <v>11.25</v>
      </c>
    </row>
    <row r="16" spans="1:6">
      <c r="A16" s="29">
        <v>9</v>
      </c>
      <c r="B16" s="29" t="s">
        <v>43</v>
      </c>
      <c r="C16" s="30" t="s">
        <v>44</v>
      </c>
      <c r="D16" s="29">
        <v>15.625</v>
      </c>
      <c r="E16" s="29"/>
      <c r="F16" s="29">
        <f t="shared" si="0"/>
        <v>15.625</v>
      </c>
    </row>
    <row r="17" spans="1:6">
      <c r="A17" s="29">
        <v>10</v>
      </c>
      <c r="B17" s="29" t="s">
        <v>45</v>
      </c>
      <c r="C17" s="30" t="s">
        <v>46</v>
      </c>
      <c r="D17" s="29">
        <v>17.1875</v>
      </c>
      <c r="E17" s="29"/>
      <c r="F17" s="29">
        <f t="shared" si="0"/>
        <v>17.1875</v>
      </c>
    </row>
    <row r="18" spans="1:6">
      <c r="A18" s="29">
        <v>11</v>
      </c>
      <c r="B18" s="29" t="s">
        <v>47</v>
      </c>
      <c r="C18" s="30" t="s">
        <v>48</v>
      </c>
      <c r="D18" s="29">
        <v>9.0625</v>
      </c>
      <c r="E18" s="29"/>
      <c r="F18" s="29">
        <f t="shared" si="0"/>
        <v>9.0625</v>
      </c>
    </row>
    <row r="19" spans="1:6">
      <c r="A19" s="29">
        <v>12</v>
      </c>
      <c r="B19" s="29" t="s">
        <v>49</v>
      </c>
      <c r="C19" s="30" t="s">
        <v>50</v>
      </c>
      <c r="D19" s="29">
        <v>15.937499999999998</v>
      </c>
      <c r="E19" s="29"/>
      <c r="F19" s="29">
        <f t="shared" si="0"/>
        <v>15.937499999999998</v>
      </c>
    </row>
    <row r="20" spans="1:6">
      <c r="A20" s="29">
        <v>13</v>
      </c>
      <c r="B20" s="29" t="s">
        <v>51</v>
      </c>
      <c r="C20" s="30" t="s">
        <v>52</v>
      </c>
      <c r="D20" s="29">
        <v>8.125</v>
      </c>
      <c r="E20" s="29"/>
      <c r="F20" s="29">
        <f t="shared" si="0"/>
        <v>8.125</v>
      </c>
    </row>
    <row r="21" spans="1:6">
      <c r="A21" s="29">
        <v>14</v>
      </c>
      <c r="B21" s="29" t="s">
        <v>53</v>
      </c>
      <c r="C21" s="30" t="s">
        <v>54</v>
      </c>
      <c r="D21" s="29">
        <v>16.25</v>
      </c>
      <c r="E21" s="29"/>
      <c r="F21" s="29">
        <f t="shared" si="0"/>
        <v>16.25</v>
      </c>
    </row>
    <row r="22" spans="1:6">
      <c r="A22" s="29">
        <v>15</v>
      </c>
      <c r="B22" s="29" t="s">
        <v>55</v>
      </c>
      <c r="C22" s="30" t="s">
        <v>56</v>
      </c>
      <c r="D22" s="29">
        <v>14.6875</v>
      </c>
      <c r="E22" s="29"/>
      <c r="F22" s="29">
        <f t="shared" si="0"/>
        <v>14.6875</v>
      </c>
    </row>
    <row r="23" spans="1:6">
      <c r="A23" s="29">
        <v>16</v>
      </c>
      <c r="B23" s="29" t="s">
        <v>57</v>
      </c>
      <c r="C23" s="30" t="s">
        <v>58</v>
      </c>
      <c r="D23" s="29">
        <v>16.5625</v>
      </c>
      <c r="E23" s="29"/>
      <c r="F23" s="29">
        <f t="shared" si="0"/>
        <v>16.5625</v>
      </c>
    </row>
    <row r="24" spans="1:6">
      <c r="A24" s="29">
        <v>17</v>
      </c>
      <c r="B24" s="29" t="s">
        <v>59</v>
      </c>
      <c r="C24" s="30" t="s">
        <v>60</v>
      </c>
      <c r="D24" s="29">
        <v>25</v>
      </c>
      <c r="E24" s="29"/>
      <c r="F24" s="29">
        <f t="shared" si="0"/>
        <v>25</v>
      </c>
    </row>
    <row r="25" spans="1:6">
      <c r="A25" s="29">
        <v>18</v>
      </c>
      <c r="B25" s="29" t="s">
        <v>61</v>
      </c>
      <c r="C25" s="30" t="s">
        <v>62</v>
      </c>
      <c r="D25" s="29">
        <v>11.25</v>
      </c>
      <c r="E25" s="29"/>
      <c r="F25" s="29">
        <f t="shared" si="0"/>
        <v>11.25</v>
      </c>
    </row>
    <row r="26" spans="1:6">
      <c r="A26" s="29">
        <v>19</v>
      </c>
      <c r="B26" s="29" t="s">
        <v>63</v>
      </c>
      <c r="C26" s="30" t="s">
        <v>64</v>
      </c>
      <c r="D26" s="29">
        <v>23.4375</v>
      </c>
      <c r="E26" s="29"/>
      <c r="F26" s="29">
        <f t="shared" si="0"/>
        <v>23.4375</v>
      </c>
    </row>
    <row r="27" spans="1:6">
      <c r="A27" s="29">
        <v>20</v>
      </c>
      <c r="B27" s="29" t="s">
        <v>65</v>
      </c>
      <c r="C27" s="30" t="s">
        <v>66</v>
      </c>
      <c r="D27" s="29">
        <v>15.937499999999998</v>
      </c>
      <c r="E27" s="29"/>
      <c r="F27" s="29">
        <f t="shared" si="0"/>
        <v>15.937499999999998</v>
      </c>
    </row>
    <row r="28" spans="1:6">
      <c r="A28" s="29">
        <v>21</v>
      </c>
      <c r="B28" s="29" t="s">
        <v>67</v>
      </c>
      <c r="C28" s="30" t="s">
        <v>68</v>
      </c>
      <c r="D28" s="29">
        <v>12.812499999999998</v>
      </c>
      <c r="E28" s="29"/>
      <c r="F28" s="29">
        <f t="shared" si="0"/>
        <v>12.812499999999998</v>
      </c>
    </row>
    <row r="29" spans="1:6">
      <c r="A29" s="29">
        <v>22</v>
      </c>
      <c r="B29" s="29" t="s">
        <v>69</v>
      </c>
      <c r="C29" s="30" t="s">
        <v>70</v>
      </c>
      <c r="D29" s="29">
        <v>22.8125</v>
      </c>
      <c r="E29" s="29"/>
      <c r="F29" s="29">
        <f t="shared" si="0"/>
        <v>22.8125</v>
      </c>
    </row>
    <row r="30" spans="1:6">
      <c r="A30" s="29">
        <v>23</v>
      </c>
      <c r="B30" s="29" t="s">
        <v>71</v>
      </c>
      <c r="C30" s="30" t="s">
        <v>72</v>
      </c>
      <c r="D30" s="29">
        <v>19.375</v>
      </c>
      <c r="E30" s="29"/>
      <c r="F30" s="29">
        <f t="shared" si="0"/>
        <v>19.375</v>
      </c>
    </row>
    <row r="31" spans="1:6">
      <c r="A31" s="29">
        <v>24</v>
      </c>
      <c r="B31" s="29" t="s">
        <v>73</v>
      </c>
      <c r="C31" s="30" t="s">
        <v>74</v>
      </c>
      <c r="D31" s="29">
        <v>18.125</v>
      </c>
      <c r="E31" s="29"/>
      <c r="F31" s="29">
        <f t="shared" si="0"/>
        <v>18.125</v>
      </c>
    </row>
    <row r="32" spans="1:6">
      <c r="A32" s="29">
        <v>25</v>
      </c>
      <c r="B32" s="29" t="s">
        <v>75</v>
      </c>
      <c r="C32" s="30" t="s">
        <v>76</v>
      </c>
      <c r="D32" s="29">
        <v>14.0625</v>
      </c>
      <c r="E32" s="29"/>
      <c r="F32" s="29">
        <f t="shared" si="0"/>
        <v>14.0625</v>
      </c>
    </row>
    <row r="33" spans="1:6">
      <c r="A33" s="29">
        <v>26</v>
      </c>
      <c r="B33" s="29" t="s">
        <v>77</v>
      </c>
      <c r="C33" s="30" t="s">
        <v>78</v>
      </c>
      <c r="D33" s="29">
        <v>15.937499999999998</v>
      </c>
      <c r="E33" s="29"/>
      <c r="F33" s="29">
        <f t="shared" si="0"/>
        <v>15.937499999999998</v>
      </c>
    </row>
    <row r="34" spans="1:6">
      <c r="A34" s="29">
        <v>27</v>
      </c>
      <c r="B34" s="29" t="s">
        <v>79</v>
      </c>
      <c r="C34" s="30" t="s">
        <v>80</v>
      </c>
      <c r="D34" s="29">
        <v>8.75</v>
      </c>
      <c r="E34" s="29"/>
      <c r="F34" s="29">
        <f t="shared" si="0"/>
        <v>8.75</v>
      </c>
    </row>
    <row r="35" spans="1:6">
      <c r="A35" s="29">
        <v>28</v>
      </c>
      <c r="B35" s="29" t="s">
        <v>81</v>
      </c>
      <c r="C35" s="30" t="s">
        <v>82</v>
      </c>
      <c r="D35" s="29">
        <v>10.3125</v>
      </c>
      <c r="E35" s="29"/>
      <c r="F35" s="29">
        <f t="shared" si="0"/>
        <v>10.3125</v>
      </c>
    </row>
    <row r="36" spans="1:6">
      <c r="A36" s="29">
        <v>29</v>
      </c>
      <c r="B36" s="29" t="s">
        <v>83</v>
      </c>
      <c r="C36" s="30" t="s">
        <v>84</v>
      </c>
      <c r="D36" s="29">
        <v>10.3125</v>
      </c>
      <c r="E36" s="29"/>
      <c r="F36" s="29">
        <f t="shared" si="0"/>
        <v>10.3125</v>
      </c>
    </row>
    <row r="37" spans="1:6">
      <c r="A37" s="29">
        <v>30</v>
      </c>
      <c r="B37" s="29" t="s">
        <v>85</v>
      </c>
      <c r="C37" s="30" t="s">
        <v>86</v>
      </c>
      <c r="D37" s="29">
        <v>24.6875</v>
      </c>
      <c r="E37" s="29"/>
      <c r="F37" s="29">
        <f t="shared" si="0"/>
        <v>24.6875</v>
      </c>
    </row>
    <row r="38" spans="1:6">
      <c r="A38" s="29">
        <v>31</v>
      </c>
      <c r="B38" s="29" t="s">
        <v>87</v>
      </c>
      <c r="C38" s="30" t="s">
        <v>88</v>
      </c>
      <c r="D38" s="29">
        <v>7.1874999999999991</v>
      </c>
      <c r="E38" s="29"/>
      <c r="F38" s="29">
        <f t="shared" si="0"/>
        <v>7.1874999999999991</v>
      </c>
    </row>
    <row r="39" spans="1:6">
      <c r="A39" s="29">
        <v>32</v>
      </c>
      <c r="B39" s="29" t="s">
        <v>89</v>
      </c>
      <c r="C39" s="30" t="s">
        <v>90</v>
      </c>
      <c r="D39" s="29">
        <v>11.5625</v>
      </c>
      <c r="E39" s="29"/>
      <c r="F39" s="29">
        <f t="shared" si="0"/>
        <v>11.5625</v>
      </c>
    </row>
    <row r="40" spans="1:6">
      <c r="A40" s="29">
        <v>33</v>
      </c>
      <c r="B40" s="29" t="s">
        <v>91</v>
      </c>
      <c r="C40" s="30" t="s">
        <v>92</v>
      </c>
      <c r="D40" s="29">
        <v>22.8125</v>
      </c>
      <c r="E40" s="29"/>
      <c r="F40" s="29">
        <f t="shared" si="0"/>
        <v>22.8125</v>
      </c>
    </row>
    <row r="41" spans="1:6">
      <c r="A41" s="29">
        <v>34</v>
      </c>
      <c r="B41" s="29" t="s">
        <v>93</v>
      </c>
      <c r="C41" s="30" t="s">
        <v>94</v>
      </c>
      <c r="D41" s="29">
        <v>14.374999999999998</v>
      </c>
      <c r="E41" s="29"/>
      <c r="F41" s="29">
        <f t="shared" si="0"/>
        <v>14.374999999999998</v>
      </c>
    </row>
    <row r="42" spans="1:6">
      <c r="A42" s="29">
        <v>35</v>
      </c>
      <c r="B42" s="29" t="s">
        <v>95</v>
      </c>
      <c r="C42" s="30" t="s">
        <v>96</v>
      </c>
      <c r="D42" s="29">
        <v>24.375</v>
      </c>
      <c r="E42" s="29"/>
      <c r="F42" s="29">
        <f t="shared" si="0"/>
        <v>24.375</v>
      </c>
    </row>
    <row r="43" spans="1:6">
      <c r="A43" s="29">
        <v>36</v>
      </c>
      <c r="B43" s="29" t="s">
        <v>97</v>
      </c>
      <c r="C43" s="30" t="s">
        <v>98</v>
      </c>
      <c r="D43" s="29">
        <v>24.0625</v>
      </c>
      <c r="E43" s="29"/>
      <c r="F43" s="29">
        <f t="shared" si="0"/>
        <v>24.0625</v>
      </c>
    </row>
    <row r="44" spans="1:6">
      <c r="A44" s="29">
        <v>37</v>
      </c>
      <c r="B44" s="29" t="s">
        <v>99</v>
      </c>
      <c r="C44" s="30" t="s">
        <v>100</v>
      </c>
      <c r="D44" s="29">
        <v>10.3125</v>
      </c>
      <c r="E44" s="29"/>
      <c r="F44" s="29">
        <f t="shared" si="0"/>
        <v>10.3125</v>
      </c>
    </row>
    <row r="45" spans="1:6">
      <c r="A45" s="29">
        <v>38</v>
      </c>
      <c r="B45" s="29" t="s">
        <v>101</v>
      </c>
      <c r="C45" s="30" t="s">
        <v>102</v>
      </c>
      <c r="D45" s="29">
        <v>16.25</v>
      </c>
      <c r="E45" s="29"/>
      <c r="F45" s="29">
        <f t="shared" si="0"/>
        <v>16.25</v>
      </c>
    </row>
    <row r="46" spans="1:6">
      <c r="A46" s="29">
        <v>39</v>
      </c>
      <c r="B46" s="29" t="s">
        <v>103</v>
      </c>
      <c r="C46" s="30" t="s">
        <v>104</v>
      </c>
      <c r="D46" s="29">
        <v>23.125</v>
      </c>
      <c r="E46" s="29"/>
      <c r="F46" s="29">
        <f t="shared" si="0"/>
        <v>23.125</v>
      </c>
    </row>
    <row r="47" spans="1:6">
      <c r="A47" s="29">
        <v>40</v>
      </c>
      <c r="B47" s="29" t="s">
        <v>105</v>
      </c>
      <c r="C47" s="30" t="s">
        <v>106</v>
      </c>
      <c r="D47" s="29">
        <v>15.937499999999998</v>
      </c>
      <c r="E47" s="29"/>
      <c r="F47" s="29">
        <f t="shared" si="0"/>
        <v>15.937499999999998</v>
      </c>
    </row>
    <row r="48" spans="1:6">
      <c r="A48" s="29">
        <v>41</v>
      </c>
      <c r="B48" s="29" t="s">
        <v>107</v>
      </c>
      <c r="C48" s="30" t="s">
        <v>106</v>
      </c>
      <c r="D48" s="29">
        <v>13.125</v>
      </c>
      <c r="E48" s="29"/>
      <c r="F48" s="29">
        <f t="shared" si="0"/>
        <v>13.125</v>
      </c>
    </row>
    <row r="49" spans="1:6">
      <c r="A49" s="29">
        <v>42</v>
      </c>
      <c r="B49" s="29" t="s">
        <v>108</v>
      </c>
      <c r="C49" s="30" t="s">
        <v>109</v>
      </c>
      <c r="D49" s="29">
        <v>18.75</v>
      </c>
      <c r="E49" s="29"/>
      <c r="F49" s="29">
        <f t="shared" si="0"/>
        <v>18.75</v>
      </c>
    </row>
    <row r="50" spans="1:6">
      <c r="A50" s="29">
        <v>43</v>
      </c>
      <c r="B50" s="29" t="s">
        <v>110</v>
      </c>
      <c r="C50" s="30" t="s">
        <v>111</v>
      </c>
      <c r="D50" s="29">
        <v>24.375</v>
      </c>
      <c r="E50" s="29"/>
      <c r="F50" s="29">
        <f t="shared" si="0"/>
        <v>24.375</v>
      </c>
    </row>
    <row r="51" spans="1:6">
      <c r="A51" s="29">
        <v>44</v>
      </c>
      <c r="B51" s="29" t="s">
        <v>112</v>
      </c>
      <c r="C51" s="30" t="s">
        <v>113</v>
      </c>
      <c r="D51" s="29">
        <v>21.5625</v>
      </c>
      <c r="E51" s="29"/>
      <c r="F51" s="29">
        <f t="shared" si="0"/>
        <v>21.5625</v>
      </c>
    </row>
    <row r="52" spans="1:6">
      <c r="A52" s="29">
        <v>45</v>
      </c>
      <c r="B52" s="29" t="s">
        <v>114</v>
      </c>
      <c r="C52" s="30" t="s">
        <v>115</v>
      </c>
      <c r="D52" s="29">
        <v>23.125</v>
      </c>
      <c r="E52" s="29"/>
      <c r="F52" s="29">
        <f t="shared" si="0"/>
        <v>23.125</v>
      </c>
    </row>
    <row r="53" spans="1:6">
      <c r="A53" s="29">
        <v>46</v>
      </c>
      <c r="B53" s="29" t="s">
        <v>116</v>
      </c>
      <c r="C53" s="30" t="s">
        <v>117</v>
      </c>
      <c r="D53" s="29">
        <v>14.6875</v>
      </c>
      <c r="E53" s="29"/>
      <c r="F53" s="29">
        <f t="shared" si="0"/>
        <v>14.6875</v>
      </c>
    </row>
    <row r="54" spans="1:6">
      <c r="A54" s="29">
        <v>47</v>
      </c>
      <c r="B54" s="29" t="s">
        <v>118</v>
      </c>
      <c r="C54" s="30" t="s">
        <v>119</v>
      </c>
      <c r="D54" s="29">
        <v>9.375</v>
      </c>
      <c r="E54" s="29"/>
      <c r="F54" s="29">
        <f t="shared" si="0"/>
        <v>9.375</v>
      </c>
    </row>
    <row r="55" spans="1:6">
      <c r="A55" s="29">
        <v>48</v>
      </c>
      <c r="B55" s="29" t="s">
        <v>120</v>
      </c>
      <c r="C55" s="30" t="s">
        <v>121</v>
      </c>
      <c r="D55" s="29">
        <v>9.375</v>
      </c>
      <c r="E55" s="29"/>
      <c r="F55" s="29">
        <f t="shared" si="0"/>
        <v>9.375</v>
      </c>
    </row>
    <row r="56" spans="1:6">
      <c r="A56" s="29">
        <v>49</v>
      </c>
      <c r="B56" s="29" t="s">
        <v>122</v>
      </c>
      <c r="C56" s="30" t="s">
        <v>123</v>
      </c>
      <c r="D56" s="29">
        <v>24.6875</v>
      </c>
      <c r="E56" s="29"/>
      <c r="F56" s="29">
        <f t="shared" si="0"/>
        <v>24.6875</v>
      </c>
    </row>
    <row r="57" spans="1:6">
      <c r="A57" s="29">
        <v>50</v>
      </c>
      <c r="B57" s="29" t="s">
        <v>124</v>
      </c>
      <c r="C57" s="30" t="s">
        <v>125</v>
      </c>
      <c r="D57" s="29">
        <v>18.75</v>
      </c>
      <c r="E57" s="29"/>
      <c r="F57" s="29">
        <f t="shared" si="0"/>
        <v>18.75</v>
      </c>
    </row>
    <row r="58" spans="1:6">
      <c r="A58" s="29">
        <v>51</v>
      </c>
      <c r="B58" s="29" t="s">
        <v>126</v>
      </c>
      <c r="C58" s="30" t="s">
        <v>127</v>
      </c>
      <c r="D58" s="29">
        <v>10.3125</v>
      </c>
      <c r="E58" s="29"/>
      <c r="F58" s="29">
        <f t="shared" si="0"/>
        <v>10.3125</v>
      </c>
    </row>
    <row r="59" spans="1:6">
      <c r="A59" s="29">
        <v>52</v>
      </c>
      <c r="B59" s="29" t="s">
        <v>128</v>
      </c>
      <c r="C59" s="30" t="s">
        <v>129</v>
      </c>
      <c r="D59" s="29">
        <v>16.875</v>
      </c>
      <c r="E59" s="29"/>
      <c r="F59" s="29">
        <f t="shared" si="0"/>
        <v>16.875</v>
      </c>
    </row>
    <row r="60" spans="1:6">
      <c r="A60" s="29">
        <v>53</v>
      </c>
      <c r="B60" s="29" t="s">
        <v>130</v>
      </c>
      <c r="C60" s="30" t="s">
        <v>131</v>
      </c>
      <c r="D60" s="29">
        <v>8.4375</v>
      </c>
      <c r="E60" s="29"/>
      <c r="F60" s="29">
        <f t="shared" si="0"/>
        <v>8.4375</v>
      </c>
    </row>
    <row r="61" spans="1:6">
      <c r="A61" s="29">
        <v>54</v>
      </c>
      <c r="B61" s="29" t="s">
        <v>132</v>
      </c>
      <c r="C61" s="30" t="s">
        <v>133</v>
      </c>
      <c r="D61" s="29">
        <v>8.4375</v>
      </c>
      <c r="E61" s="29"/>
      <c r="F61" s="29">
        <f t="shared" si="0"/>
        <v>8.4375</v>
      </c>
    </row>
    <row r="62" spans="1:6">
      <c r="A62" s="29">
        <v>55</v>
      </c>
      <c r="B62" s="29" t="s">
        <v>134</v>
      </c>
      <c r="C62" s="30" t="s">
        <v>135</v>
      </c>
      <c r="D62" s="29">
        <v>18.125</v>
      </c>
      <c r="E62" s="29"/>
      <c r="F62" s="29">
        <f t="shared" si="0"/>
        <v>18.125</v>
      </c>
    </row>
    <row r="63" spans="1:6">
      <c r="A63" s="29">
        <v>56</v>
      </c>
      <c r="B63" s="29" t="s">
        <v>134</v>
      </c>
      <c r="C63" s="30" t="s">
        <v>136</v>
      </c>
      <c r="D63" s="29">
        <v>16.25</v>
      </c>
      <c r="E63" s="29"/>
      <c r="F63" s="29">
        <f t="shared" si="0"/>
        <v>16.25</v>
      </c>
    </row>
    <row r="64" spans="1:6">
      <c r="A64" s="29">
        <v>57</v>
      </c>
      <c r="B64" s="29" t="s">
        <v>134</v>
      </c>
      <c r="C64" s="30" t="s">
        <v>137</v>
      </c>
      <c r="D64" s="29">
        <v>15</v>
      </c>
      <c r="E64" s="29"/>
      <c r="F64" s="29">
        <f t="shared" si="0"/>
        <v>15</v>
      </c>
    </row>
    <row r="65" spans="1:6">
      <c r="A65" s="29">
        <v>58</v>
      </c>
      <c r="B65" s="29"/>
      <c r="C65" s="30" t="s">
        <v>138</v>
      </c>
      <c r="D65" s="29">
        <v>8.4375</v>
      </c>
      <c r="E65" s="29"/>
      <c r="F65" s="29">
        <f t="shared" si="0"/>
        <v>8.4375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"/>
  <sheetViews>
    <sheetView tabSelected="1" workbookViewId="0">
      <selection activeCell="E66" sqref="E66"/>
    </sheetView>
  </sheetViews>
  <sheetFormatPr defaultColWidth="14.453125" defaultRowHeight="15" customHeight="1"/>
  <cols>
    <col min="1" max="1" width="11.08984375" customWidth="1"/>
    <col min="2" max="3" width="19.08984375" customWidth="1"/>
    <col min="4" max="4" width="5.26953125" customWidth="1"/>
    <col min="5" max="5" width="6.453125" customWidth="1"/>
    <col min="6" max="6" width="6" customWidth="1"/>
    <col min="7" max="7" width="6.08984375" customWidth="1"/>
    <col min="8" max="8" width="6.26953125" customWidth="1"/>
    <col min="9" max="9" width="5.453125" customWidth="1"/>
    <col min="10" max="10" width="6.26953125" customWidth="1"/>
    <col min="11" max="11" width="5.453125" customWidth="1"/>
    <col min="12" max="12" width="5.81640625" customWidth="1"/>
    <col min="13" max="13" width="5.26953125" customWidth="1"/>
    <col min="14" max="14" width="6.453125" customWidth="1"/>
    <col min="15" max="15" width="6" customWidth="1"/>
    <col min="16" max="16" width="6.453125" customWidth="1"/>
    <col min="17" max="17" width="5.26953125" customWidth="1"/>
    <col min="18" max="18" width="6.453125" customWidth="1"/>
    <col min="19" max="19" width="5.26953125" customWidth="1"/>
    <col min="20" max="20" width="6.453125" customWidth="1"/>
    <col min="21" max="21" width="6" customWidth="1"/>
  </cols>
  <sheetData>
    <row r="1" spans="1:21" ht="16.5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4"/>
    </row>
    <row r="2" spans="1:21" ht="16.5" customHeight="1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4"/>
    </row>
    <row r="3" spans="1:21" ht="16.5" customHeight="1">
      <c r="A3" s="52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4"/>
    </row>
    <row r="4" spans="1:21" ht="16.5" customHeight="1">
      <c r="A4" s="52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</row>
    <row r="5" spans="1:21" ht="16.5" customHeight="1">
      <c r="A5" s="52" t="s">
        <v>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4"/>
    </row>
    <row r="6" spans="1:21" ht="16.5" customHeight="1">
      <c r="A6" s="50" t="s">
        <v>5</v>
      </c>
      <c r="B6" s="50" t="s">
        <v>6</v>
      </c>
      <c r="C6" s="50" t="s">
        <v>7</v>
      </c>
      <c r="D6" s="1" t="s">
        <v>8</v>
      </c>
      <c r="E6" s="2" t="s">
        <v>8</v>
      </c>
      <c r="F6" s="2" t="s">
        <v>8</v>
      </c>
      <c r="G6" s="2" t="s">
        <v>8</v>
      </c>
      <c r="H6" s="2" t="s">
        <v>9</v>
      </c>
      <c r="I6" s="2" t="s">
        <v>9</v>
      </c>
      <c r="J6" s="2" t="s">
        <v>9</v>
      </c>
      <c r="K6" s="2" t="s">
        <v>9</v>
      </c>
      <c r="L6" s="48" t="s">
        <v>10</v>
      </c>
      <c r="M6" s="2" t="s">
        <v>11</v>
      </c>
      <c r="N6" s="2" t="s">
        <v>12</v>
      </c>
      <c r="O6" s="2" t="s">
        <v>11</v>
      </c>
      <c r="P6" s="2" t="s">
        <v>12</v>
      </c>
      <c r="Q6" s="2" t="s">
        <v>13</v>
      </c>
      <c r="R6" s="2" t="s">
        <v>12</v>
      </c>
      <c r="S6" s="2" t="s">
        <v>13</v>
      </c>
      <c r="T6" s="2" t="s">
        <v>12</v>
      </c>
      <c r="U6" s="48" t="s">
        <v>10</v>
      </c>
    </row>
    <row r="7" spans="1:21" ht="16.5" customHeight="1">
      <c r="A7" s="49"/>
      <c r="B7" s="49"/>
      <c r="C7" s="49"/>
      <c r="D7" s="4" t="s">
        <v>14</v>
      </c>
      <c r="E7" s="5" t="s">
        <v>15</v>
      </c>
      <c r="F7" s="5" t="s">
        <v>16</v>
      </c>
      <c r="G7" s="6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49"/>
      <c r="M7" s="5" t="s">
        <v>14</v>
      </c>
      <c r="N7" s="5" t="s">
        <v>15</v>
      </c>
      <c r="O7" s="5" t="s">
        <v>16</v>
      </c>
      <c r="P7" s="6" t="s">
        <v>17</v>
      </c>
      <c r="Q7" s="5" t="s">
        <v>22</v>
      </c>
      <c r="R7" s="5" t="s">
        <v>23</v>
      </c>
      <c r="S7" s="5" t="s">
        <v>24</v>
      </c>
      <c r="T7" s="5" t="s">
        <v>25</v>
      </c>
      <c r="U7" s="49"/>
    </row>
    <row r="8" spans="1:21" ht="16.5" customHeight="1">
      <c r="A8" s="22">
        <v>1</v>
      </c>
      <c r="B8" s="8" t="s">
        <v>140</v>
      </c>
      <c r="C8" s="8" t="s">
        <v>141</v>
      </c>
      <c r="D8" s="9">
        <v>8</v>
      </c>
      <c r="E8" s="9">
        <v>10</v>
      </c>
      <c r="F8" s="9"/>
      <c r="G8" s="9"/>
      <c r="H8" s="9"/>
      <c r="I8" s="9"/>
      <c r="J8" s="9">
        <v>11</v>
      </c>
      <c r="K8" s="9">
        <v>8</v>
      </c>
      <c r="L8" s="9">
        <v>37</v>
      </c>
      <c r="M8" s="9">
        <v>8</v>
      </c>
      <c r="N8" s="9">
        <v>12</v>
      </c>
      <c r="O8" s="9"/>
      <c r="P8" s="9"/>
      <c r="Q8" s="9">
        <v>8</v>
      </c>
      <c r="R8" s="9">
        <v>12</v>
      </c>
      <c r="S8" s="9"/>
      <c r="T8" s="9"/>
      <c r="U8" s="9">
        <v>40</v>
      </c>
    </row>
    <row r="9" spans="1:21" ht="16.5" customHeight="1">
      <c r="A9" s="23">
        <v>2</v>
      </c>
      <c r="B9" s="11" t="s">
        <v>142</v>
      </c>
      <c r="C9" s="11" t="s">
        <v>143</v>
      </c>
      <c r="D9" s="12">
        <v>7</v>
      </c>
      <c r="E9" s="12">
        <v>11</v>
      </c>
      <c r="F9" s="12"/>
      <c r="G9" s="12"/>
      <c r="H9" s="12"/>
      <c r="I9" s="12"/>
      <c r="J9" s="12"/>
      <c r="K9" s="12"/>
      <c r="L9" s="12">
        <v>18</v>
      </c>
      <c r="M9" s="12">
        <v>8</v>
      </c>
      <c r="N9" s="12">
        <v>2</v>
      </c>
      <c r="O9" s="12"/>
      <c r="P9" s="12"/>
      <c r="Q9" s="12"/>
      <c r="R9" s="12"/>
      <c r="S9" s="12">
        <v>6</v>
      </c>
      <c r="T9" s="12">
        <v>1</v>
      </c>
      <c r="U9" s="12">
        <v>17</v>
      </c>
    </row>
    <row r="10" spans="1:21" ht="16.5" customHeight="1">
      <c r="A10" s="23">
        <v>3</v>
      </c>
      <c r="B10" s="11" t="s">
        <v>144</v>
      </c>
      <c r="C10" s="11" t="s">
        <v>145</v>
      </c>
      <c r="D10" s="12">
        <v>7</v>
      </c>
      <c r="E10" s="12">
        <v>0</v>
      </c>
      <c r="F10" s="12"/>
      <c r="G10" s="12"/>
      <c r="H10" s="12"/>
      <c r="I10" s="12"/>
      <c r="J10" s="12"/>
      <c r="K10" s="12"/>
      <c r="L10" s="12">
        <v>7</v>
      </c>
      <c r="M10" s="12">
        <v>7</v>
      </c>
      <c r="N10" s="12">
        <v>0</v>
      </c>
      <c r="O10" s="12"/>
      <c r="P10" s="12"/>
      <c r="Q10" s="12">
        <v>7</v>
      </c>
      <c r="R10" s="12">
        <v>0</v>
      </c>
      <c r="S10" s="12"/>
      <c r="T10" s="12"/>
      <c r="U10" s="12">
        <v>14</v>
      </c>
    </row>
    <row r="11" spans="1:21" ht="16.5" customHeight="1">
      <c r="A11" s="23">
        <v>4</v>
      </c>
      <c r="B11" s="11" t="s">
        <v>146</v>
      </c>
      <c r="C11" s="11" t="s">
        <v>147</v>
      </c>
      <c r="D11" s="12">
        <v>8</v>
      </c>
      <c r="E11" s="12">
        <v>11</v>
      </c>
      <c r="F11" s="12"/>
      <c r="G11" s="12"/>
      <c r="H11" s="12"/>
      <c r="I11" s="12"/>
      <c r="J11" s="12">
        <v>8</v>
      </c>
      <c r="K11" s="12">
        <v>0</v>
      </c>
      <c r="L11" s="12">
        <v>27</v>
      </c>
      <c r="M11" s="12">
        <v>2</v>
      </c>
      <c r="N11" s="12">
        <v>0</v>
      </c>
      <c r="O11" s="12">
        <v>3</v>
      </c>
      <c r="P11" s="12">
        <v>0</v>
      </c>
      <c r="Q11" s="12">
        <v>8</v>
      </c>
      <c r="R11" s="12">
        <v>12</v>
      </c>
      <c r="S11" s="12"/>
      <c r="T11" s="12"/>
      <c r="U11" s="12">
        <v>23</v>
      </c>
    </row>
    <row r="12" spans="1:21" ht="16.5" customHeight="1">
      <c r="A12" s="23">
        <v>5</v>
      </c>
      <c r="B12" s="11" t="s">
        <v>148</v>
      </c>
      <c r="C12" s="11" t="s">
        <v>149</v>
      </c>
      <c r="D12" s="12">
        <v>8</v>
      </c>
      <c r="E12" s="12">
        <v>10</v>
      </c>
      <c r="F12" s="12"/>
      <c r="G12" s="12"/>
      <c r="H12" s="12"/>
      <c r="I12" s="12"/>
      <c r="J12" s="12">
        <v>8</v>
      </c>
      <c r="K12" s="12">
        <v>1</v>
      </c>
      <c r="L12" s="12">
        <v>27</v>
      </c>
      <c r="M12" s="12">
        <v>8</v>
      </c>
      <c r="N12" s="12">
        <v>10</v>
      </c>
      <c r="O12" s="12"/>
      <c r="P12" s="12"/>
      <c r="Q12" s="12"/>
      <c r="R12" s="12"/>
      <c r="S12" s="12">
        <v>6</v>
      </c>
      <c r="T12" s="12">
        <v>8</v>
      </c>
      <c r="U12" s="12">
        <v>32</v>
      </c>
    </row>
    <row r="13" spans="1:21" ht="16.5" customHeight="1">
      <c r="A13" s="23">
        <v>6</v>
      </c>
      <c r="B13" s="11" t="s">
        <v>150</v>
      </c>
      <c r="C13" s="11" t="s">
        <v>151</v>
      </c>
      <c r="D13" s="12">
        <v>8</v>
      </c>
      <c r="E13" s="12">
        <v>12</v>
      </c>
      <c r="F13" s="12"/>
      <c r="G13" s="12"/>
      <c r="H13" s="12"/>
      <c r="I13" s="12"/>
      <c r="J13" s="12">
        <v>12</v>
      </c>
      <c r="K13" s="12">
        <v>0</v>
      </c>
      <c r="L13" s="12">
        <v>32</v>
      </c>
      <c r="M13" s="12">
        <v>8</v>
      </c>
      <c r="N13" s="12">
        <v>1</v>
      </c>
      <c r="O13" s="12"/>
      <c r="P13" s="12"/>
      <c r="Q13" s="12"/>
      <c r="R13" s="12"/>
      <c r="S13" s="12">
        <v>8</v>
      </c>
      <c r="T13" s="12">
        <v>12</v>
      </c>
      <c r="U13" s="12">
        <v>29</v>
      </c>
    </row>
    <row r="14" spans="1:21" ht="16.5" customHeight="1">
      <c r="A14" s="23">
        <v>7</v>
      </c>
      <c r="B14" s="11" t="s">
        <v>152</v>
      </c>
      <c r="C14" s="11" t="s">
        <v>153</v>
      </c>
      <c r="D14" s="12">
        <v>8</v>
      </c>
      <c r="E14" s="12">
        <v>10</v>
      </c>
      <c r="F14" s="12"/>
      <c r="G14" s="12"/>
      <c r="H14" s="12"/>
      <c r="I14" s="12"/>
      <c r="J14" s="12">
        <v>9</v>
      </c>
      <c r="K14" s="12">
        <v>3</v>
      </c>
      <c r="L14" s="12">
        <v>30</v>
      </c>
      <c r="M14" s="12">
        <v>8</v>
      </c>
      <c r="N14" s="12">
        <v>12</v>
      </c>
      <c r="O14" s="12"/>
      <c r="P14" s="12"/>
      <c r="Q14" s="12">
        <v>8</v>
      </c>
      <c r="R14" s="12">
        <v>0</v>
      </c>
      <c r="S14" s="12">
        <v>0</v>
      </c>
      <c r="T14" s="12">
        <v>10</v>
      </c>
      <c r="U14" s="12">
        <v>30</v>
      </c>
    </row>
    <row r="15" spans="1:21" ht="16.5" customHeight="1">
      <c r="A15" s="23">
        <v>8</v>
      </c>
      <c r="B15" s="11" t="s">
        <v>154</v>
      </c>
      <c r="C15" s="11" t="s">
        <v>155</v>
      </c>
      <c r="D15" s="12">
        <v>8</v>
      </c>
      <c r="E15" s="12">
        <v>10</v>
      </c>
      <c r="F15" s="12"/>
      <c r="G15" s="12"/>
      <c r="H15" s="12"/>
      <c r="I15" s="12"/>
      <c r="J15" s="12">
        <v>8</v>
      </c>
      <c r="K15" s="12">
        <v>0</v>
      </c>
      <c r="L15" s="12">
        <v>26</v>
      </c>
      <c r="M15" s="12">
        <v>7</v>
      </c>
      <c r="N15" s="12">
        <v>11</v>
      </c>
      <c r="O15" s="12"/>
      <c r="P15" s="12"/>
      <c r="Q15" s="12"/>
      <c r="R15" s="12"/>
      <c r="S15" s="12">
        <v>0</v>
      </c>
      <c r="T15" s="12">
        <v>0</v>
      </c>
      <c r="U15" s="12">
        <v>18</v>
      </c>
    </row>
    <row r="16" spans="1:21" ht="16.5" customHeight="1">
      <c r="A16" s="23">
        <v>9</v>
      </c>
      <c r="B16" s="11" t="s">
        <v>156</v>
      </c>
      <c r="C16" s="11" t="s">
        <v>157</v>
      </c>
      <c r="D16" s="12">
        <v>8</v>
      </c>
      <c r="E16" s="12">
        <v>12</v>
      </c>
      <c r="F16" s="12"/>
      <c r="G16" s="12"/>
      <c r="H16" s="12"/>
      <c r="I16" s="12"/>
      <c r="J16" s="12">
        <v>8</v>
      </c>
      <c r="K16" s="12">
        <v>0</v>
      </c>
      <c r="L16" s="12">
        <v>28</v>
      </c>
      <c r="M16" s="12">
        <v>5</v>
      </c>
      <c r="N16" s="12">
        <v>0</v>
      </c>
      <c r="O16" s="12"/>
      <c r="P16" s="12"/>
      <c r="Q16" s="12"/>
      <c r="R16" s="12"/>
      <c r="S16" s="12">
        <v>8</v>
      </c>
      <c r="T16" s="12">
        <v>0</v>
      </c>
      <c r="U16" s="12">
        <v>13</v>
      </c>
    </row>
    <row r="17" spans="1:21" ht="16.5" customHeight="1">
      <c r="A17" s="23">
        <v>10</v>
      </c>
      <c r="B17" s="11" t="s">
        <v>158</v>
      </c>
      <c r="C17" s="11" t="s">
        <v>159</v>
      </c>
      <c r="D17" s="12">
        <v>8</v>
      </c>
      <c r="E17" s="12">
        <v>12</v>
      </c>
      <c r="F17" s="12"/>
      <c r="G17" s="12"/>
      <c r="H17" s="12"/>
      <c r="I17" s="12"/>
      <c r="J17" s="12">
        <v>12</v>
      </c>
      <c r="K17" s="12">
        <v>8</v>
      </c>
      <c r="L17" s="12">
        <v>40</v>
      </c>
      <c r="M17" s="12">
        <v>8</v>
      </c>
      <c r="N17" s="12">
        <v>12</v>
      </c>
      <c r="O17" s="12"/>
      <c r="P17" s="12"/>
      <c r="Q17" s="12">
        <v>8</v>
      </c>
      <c r="R17" s="12">
        <v>5</v>
      </c>
      <c r="S17" s="12"/>
      <c r="T17" s="12"/>
      <c r="U17" s="12">
        <v>33</v>
      </c>
    </row>
    <row r="18" spans="1:21" ht="16.5" customHeight="1">
      <c r="A18" s="23">
        <v>11</v>
      </c>
      <c r="B18" s="11" t="s">
        <v>160</v>
      </c>
      <c r="C18" s="11" t="s">
        <v>161</v>
      </c>
      <c r="D18" s="12">
        <v>8</v>
      </c>
      <c r="E18" s="12">
        <v>9</v>
      </c>
      <c r="F18" s="12"/>
      <c r="G18" s="12"/>
      <c r="H18" s="12"/>
      <c r="I18" s="12"/>
      <c r="J18" s="12">
        <v>10</v>
      </c>
      <c r="K18" s="12">
        <v>6</v>
      </c>
      <c r="L18" s="12">
        <v>33</v>
      </c>
      <c r="M18" s="12">
        <v>8</v>
      </c>
      <c r="N18" s="12">
        <v>11</v>
      </c>
      <c r="O18" s="12"/>
      <c r="P18" s="12"/>
      <c r="Q18" s="12">
        <v>8</v>
      </c>
      <c r="R18" s="12">
        <v>12</v>
      </c>
      <c r="S18" s="12"/>
      <c r="T18" s="12"/>
      <c r="U18" s="12">
        <v>39</v>
      </c>
    </row>
    <row r="19" spans="1:21" ht="16.5" customHeight="1">
      <c r="A19" s="23">
        <v>12</v>
      </c>
      <c r="B19" s="11" t="s">
        <v>162</v>
      </c>
      <c r="C19" s="11" t="s">
        <v>163</v>
      </c>
      <c r="D19" s="12">
        <v>8</v>
      </c>
      <c r="E19" s="12">
        <v>11</v>
      </c>
      <c r="F19" s="12"/>
      <c r="G19" s="12"/>
      <c r="H19" s="12"/>
      <c r="I19" s="12"/>
      <c r="J19" s="12">
        <v>8</v>
      </c>
      <c r="K19" s="12">
        <v>3</v>
      </c>
      <c r="L19" s="12">
        <v>30</v>
      </c>
      <c r="M19" s="12">
        <v>6</v>
      </c>
      <c r="N19" s="12">
        <v>10</v>
      </c>
      <c r="O19" s="12"/>
      <c r="P19" s="12"/>
      <c r="Q19" s="12"/>
      <c r="R19" s="12"/>
      <c r="S19" s="12"/>
      <c r="T19" s="12"/>
      <c r="U19" s="12">
        <v>16</v>
      </c>
    </row>
    <row r="20" spans="1:21" ht="16.5" customHeight="1">
      <c r="A20" s="23">
        <v>13</v>
      </c>
      <c r="B20" s="11" t="s">
        <v>164</v>
      </c>
      <c r="C20" s="11" t="s">
        <v>165</v>
      </c>
      <c r="D20" s="12">
        <v>8</v>
      </c>
      <c r="E20" s="12">
        <v>12</v>
      </c>
      <c r="F20" s="12"/>
      <c r="G20" s="12"/>
      <c r="H20" s="12"/>
      <c r="I20" s="12"/>
      <c r="J20" s="12">
        <v>10</v>
      </c>
      <c r="K20" s="12">
        <v>8</v>
      </c>
      <c r="L20" s="12">
        <v>38</v>
      </c>
      <c r="M20" s="12">
        <v>8</v>
      </c>
      <c r="N20" s="12">
        <v>11</v>
      </c>
      <c r="O20" s="12"/>
      <c r="P20" s="12"/>
      <c r="Q20" s="12">
        <v>8</v>
      </c>
      <c r="R20" s="12">
        <v>12</v>
      </c>
      <c r="S20" s="12"/>
      <c r="T20" s="12"/>
      <c r="U20" s="12">
        <v>39</v>
      </c>
    </row>
    <row r="21" spans="1:21" ht="16.5" customHeight="1">
      <c r="A21" s="23">
        <v>14</v>
      </c>
      <c r="B21" s="11" t="s">
        <v>166</v>
      </c>
      <c r="C21" s="11" t="s">
        <v>167</v>
      </c>
      <c r="D21" s="12">
        <v>8</v>
      </c>
      <c r="E21" s="12">
        <v>12</v>
      </c>
      <c r="F21" s="12"/>
      <c r="G21" s="12"/>
      <c r="H21" s="12"/>
      <c r="I21" s="12"/>
      <c r="J21" s="12">
        <v>11</v>
      </c>
      <c r="K21" s="12">
        <v>8</v>
      </c>
      <c r="L21" s="12">
        <v>39</v>
      </c>
      <c r="M21" s="12">
        <v>8</v>
      </c>
      <c r="N21" s="12">
        <v>12</v>
      </c>
      <c r="O21" s="12"/>
      <c r="P21" s="12"/>
      <c r="Q21" s="12">
        <v>8</v>
      </c>
      <c r="R21" s="12">
        <v>12</v>
      </c>
      <c r="S21" s="12"/>
      <c r="T21" s="12"/>
      <c r="U21" s="12">
        <v>40</v>
      </c>
    </row>
    <row r="22" spans="1:21" ht="16.5" customHeight="1">
      <c r="A22" s="23">
        <v>15</v>
      </c>
      <c r="B22" s="11" t="s">
        <v>168</v>
      </c>
      <c r="C22" s="11" t="s">
        <v>169</v>
      </c>
      <c r="D22" s="12">
        <v>8</v>
      </c>
      <c r="E22" s="12">
        <v>10</v>
      </c>
      <c r="F22" s="12"/>
      <c r="G22" s="12"/>
      <c r="H22" s="12"/>
      <c r="I22" s="12"/>
      <c r="J22" s="12">
        <v>4</v>
      </c>
      <c r="K22" s="12">
        <v>3</v>
      </c>
      <c r="L22" s="12">
        <v>25</v>
      </c>
      <c r="M22" s="12">
        <v>3</v>
      </c>
      <c r="N22" s="12">
        <v>0</v>
      </c>
      <c r="O22" s="12"/>
      <c r="P22" s="12"/>
      <c r="Q22" s="12"/>
      <c r="R22" s="12"/>
      <c r="S22" s="12">
        <v>0</v>
      </c>
      <c r="T22" s="12">
        <v>1</v>
      </c>
      <c r="U22" s="12">
        <v>4</v>
      </c>
    </row>
    <row r="23" spans="1:21" ht="16.5" customHeight="1">
      <c r="A23" s="23">
        <v>16</v>
      </c>
      <c r="B23" s="11" t="s">
        <v>170</v>
      </c>
      <c r="C23" s="11" t="s">
        <v>171</v>
      </c>
      <c r="D23" s="12">
        <v>7</v>
      </c>
      <c r="E23" s="12">
        <v>7</v>
      </c>
      <c r="F23" s="12"/>
      <c r="G23" s="12"/>
      <c r="H23" s="12"/>
      <c r="I23" s="12"/>
      <c r="J23" s="12">
        <v>9</v>
      </c>
      <c r="K23" s="12">
        <v>0</v>
      </c>
      <c r="L23" s="12">
        <v>23</v>
      </c>
      <c r="M23" s="12">
        <v>2</v>
      </c>
      <c r="N23" s="12">
        <v>1</v>
      </c>
      <c r="O23" s="12"/>
      <c r="P23" s="12"/>
      <c r="Q23" s="12"/>
      <c r="R23" s="12"/>
      <c r="S23" s="12">
        <v>5</v>
      </c>
      <c r="T23" s="12">
        <v>0</v>
      </c>
      <c r="U23" s="12">
        <v>8</v>
      </c>
    </row>
    <row r="24" spans="1:21" ht="16.5" customHeight="1">
      <c r="A24" s="23">
        <v>17</v>
      </c>
      <c r="B24" s="11" t="s">
        <v>172</v>
      </c>
      <c r="C24" s="11" t="s">
        <v>173</v>
      </c>
      <c r="D24" s="12">
        <v>8</v>
      </c>
      <c r="E24" s="12">
        <v>11</v>
      </c>
      <c r="F24" s="12"/>
      <c r="G24" s="12"/>
      <c r="H24" s="12"/>
      <c r="I24" s="12"/>
      <c r="J24" s="12">
        <v>12</v>
      </c>
      <c r="K24" s="12">
        <v>7</v>
      </c>
      <c r="L24" s="12">
        <v>38</v>
      </c>
      <c r="M24" s="12">
        <v>8</v>
      </c>
      <c r="N24" s="12">
        <v>8</v>
      </c>
      <c r="O24" s="12"/>
      <c r="P24" s="12"/>
      <c r="Q24" s="12">
        <v>5</v>
      </c>
      <c r="R24" s="12">
        <v>12</v>
      </c>
      <c r="S24" s="12"/>
      <c r="T24" s="12"/>
      <c r="U24" s="12">
        <v>34</v>
      </c>
    </row>
    <row r="25" spans="1:21" ht="16.5" customHeight="1">
      <c r="A25" s="23">
        <v>18</v>
      </c>
      <c r="B25" s="11" t="s">
        <v>174</v>
      </c>
      <c r="C25" s="11" t="s">
        <v>175</v>
      </c>
      <c r="D25" s="12">
        <v>8</v>
      </c>
      <c r="E25" s="12">
        <v>11</v>
      </c>
      <c r="F25" s="12"/>
      <c r="G25" s="12"/>
      <c r="H25" s="12"/>
      <c r="I25" s="12"/>
      <c r="J25" s="12">
        <v>12</v>
      </c>
      <c r="K25" s="12">
        <v>6</v>
      </c>
      <c r="L25" s="12">
        <v>37</v>
      </c>
      <c r="M25" s="12">
        <v>8</v>
      </c>
      <c r="N25" s="12">
        <v>12</v>
      </c>
      <c r="O25" s="12"/>
      <c r="P25" s="12"/>
      <c r="Q25" s="12">
        <v>6</v>
      </c>
      <c r="R25" s="12">
        <v>12</v>
      </c>
      <c r="S25" s="12"/>
      <c r="T25" s="12"/>
      <c r="U25" s="12">
        <v>38</v>
      </c>
    </row>
    <row r="26" spans="1:21" ht="16.5" customHeight="1">
      <c r="A26" s="23">
        <v>19</v>
      </c>
      <c r="B26" s="11" t="s">
        <v>176</v>
      </c>
      <c r="C26" s="11" t="s">
        <v>177</v>
      </c>
      <c r="D26" s="12">
        <v>8</v>
      </c>
      <c r="E26" s="12">
        <v>12</v>
      </c>
      <c r="F26" s="12"/>
      <c r="G26" s="12"/>
      <c r="H26" s="12"/>
      <c r="I26" s="12"/>
      <c r="J26" s="12">
        <v>12</v>
      </c>
      <c r="K26" s="12">
        <v>6</v>
      </c>
      <c r="L26" s="12">
        <v>38</v>
      </c>
      <c r="M26" s="12">
        <v>7</v>
      </c>
      <c r="N26" s="12">
        <v>12</v>
      </c>
      <c r="O26" s="12"/>
      <c r="P26" s="12"/>
      <c r="Q26" s="12">
        <v>8</v>
      </c>
      <c r="R26" s="12">
        <v>12</v>
      </c>
      <c r="S26" s="12"/>
      <c r="T26" s="12"/>
      <c r="U26" s="12">
        <v>39</v>
      </c>
    </row>
    <row r="27" spans="1:21" ht="16.5" customHeight="1">
      <c r="A27" s="23">
        <v>20</v>
      </c>
      <c r="B27" s="11" t="s">
        <v>178</v>
      </c>
      <c r="C27" s="11" t="s">
        <v>179</v>
      </c>
      <c r="D27" s="12">
        <v>8</v>
      </c>
      <c r="E27" s="12">
        <v>6</v>
      </c>
      <c r="F27" s="12"/>
      <c r="G27" s="12"/>
      <c r="H27" s="12">
        <v>11</v>
      </c>
      <c r="I27" s="12">
        <v>0</v>
      </c>
      <c r="J27" s="12"/>
      <c r="K27" s="12"/>
      <c r="L27" s="12">
        <v>25</v>
      </c>
      <c r="M27" s="12"/>
      <c r="N27" s="12"/>
      <c r="O27" s="12">
        <v>8</v>
      </c>
      <c r="P27" s="12">
        <v>11</v>
      </c>
      <c r="Q27" s="12">
        <v>8</v>
      </c>
      <c r="R27" s="12">
        <v>12</v>
      </c>
      <c r="S27" s="12"/>
      <c r="T27" s="12"/>
      <c r="U27" s="12">
        <v>39</v>
      </c>
    </row>
    <row r="28" spans="1:21" ht="16.5" customHeight="1">
      <c r="A28" s="23">
        <v>21</v>
      </c>
      <c r="B28" s="11" t="s">
        <v>180</v>
      </c>
      <c r="C28" s="11" t="s">
        <v>181</v>
      </c>
      <c r="D28" s="12">
        <v>8</v>
      </c>
      <c r="E28" s="12">
        <v>10</v>
      </c>
      <c r="F28" s="12"/>
      <c r="G28" s="12"/>
      <c r="H28" s="12"/>
      <c r="I28" s="12"/>
      <c r="J28" s="12">
        <v>9</v>
      </c>
      <c r="K28" s="12">
        <v>6</v>
      </c>
      <c r="L28" s="12">
        <v>33</v>
      </c>
      <c r="M28" s="12">
        <v>8</v>
      </c>
      <c r="N28" s="12">
        <v>12</v>
      </c>
      <c r="O28" s="12"/>
      <c r="P28" s="12"/>
      <c r="Q28" s="12">
        <v>8</v>
      </c>
      <c r="R28" s="12">
        <v>12</v>
      </c>
      <c r="S28" s="12"/>
      <c r="T28" s="12"/>
      <c r="U28" s="12">
        <v>40</v>
      </c>
    </row>
    <row r="29" spans="1:21" ht="16.5" customHeight="1">
      <c r="A29" s="23">
        <v>22</v>
      </c>
      <c r="B29" s="11" t="s">
        <v>182</v>
      </c>
      <c r="C29" s="11" t="s">
        <v>183</v>
      </c>
      <c r="D29" s="12">
        <v>8</v>
      </c>
      <c r="E29" s="12">
        <v>10</v>
      </c>
      <c r="F29" s="12"/>
      <c r="G29" s="12"/>
      <c r="H29" s="12"/>
      <c r="I29" s="12"/>
      <c r="J29" s="12">
        <v>10</v>
      </c>
      <c r="K29" s="12">
        <v>6</v>
      </c>
      <c r="L29" s="12">
        <v>34</v>
      </c>
      <c r="M29" s="12">
        <v>6</v>
      </c>
      <c r="N29" s="12">
        <v>9</v>
      </c>
      <c r="O29" s="12"/>
      <c r="P29" s="12"/>
      <c r="Q29" s="12"/>
      <c r="R29" s="12"/>
      <c r="S29" s="12">
        <v>7</v>
      </c>
      <c r="T29" s="12">
        <v>0</v>
      </c>
      <c r="U29" s="12">
        <v>22</v>
      </c>
    </row>
    <row r="30" spans="1:21" ht="16.5" customHeight="1">
      <c r="A30" s="23">
        <v>23</v>
      </c>
      <c r="B30" s="11" t="s">
        <v>184</v>
      </c>
      <c r="C30" s="11" t="s">
        <v>185</v>
      </c>
      <c r="D30" s="12">
        <v>8</v>
      </c>
      <c r="E30" s="12">
        <v>12</v>
      </c>
      <c r="F30" s="12"/>
      <c r="G30" s="12"/>
      <c r="H30" s="12">
        <v>10</v>
      </c>
      <c r="I30" s="12">
        <v>8</v>
      </c>
      <c r="J30" s="12">
        <v>11</v>
      </c>
      <c r="K30" s="12">
        <v>8</v>
      </c>
      <c r="L30" s="12">
        <v>39</v>
      </c>
      <c r="M30" s="12">
        <v>8</v>
      </c>
      <c r="N30" s="12">
        <v>12</v>
      </c>
      <c r="O30" s="12"/>
      <c r="P30" s="12"/>
      <c r="Q30" s="12">
        <v>8</v>
      </c>
      <c r="R30" s="12">
        <v>12</v>
      </c>
      <c r="S30" s="12"/>
      <c r="T30" s="12"/>
      <c r="U30" s="12">
        <v>40</v>
      </c>
    </row>
    <row r="31" spans="1:21" ht="16.5" customHeight="1">
      <c r="A31" s="23">
        <v>24</v>
      </c>
      <c r="B31" s="11" t="s">
        <v>186</v>
      </c>
      <c r="C31" s="11" t="s">
        <v>187</v>
      </c>
      <c r="D31" s="12">
        <v>7</v>
      </c>
      <c r="E31" s="12">
        <v>8</v>
      </c>
      <c r="F31" s="12"/>
      <c r="G31" s="12"/>
      <c r="H31" s="12"/>
      <c r="I31" s="12"/>
      <c r="J31" s="12">
        <v>10</v>
      </c>
      <c r="K31" s="12">
        <v>6</v>
      </c>
      <c r="L31" s="12">
        <v>31</v>
      </c>
      <c r="M31" s="12">
        <v>8</v>
      </c>
      <c r="N31" s="12">
        <v>0</v>
      </c>
      <c r="O31" s="12"/>
      <c r="P31" s="12"/>
      <c r="Q31" s="12"/>
      <c r="R31" s="12"/>
      <c r="S31" s="12">
        <v>8</v>
      </c>
      <c r="T31" s="12">
        <v>12</v>
      </c>
      <c r="U31" s="12">
        <v>28</v>
      </c>
    </row>
    <row r="32" spans="1:21" ht="16.5" customHeight="1">
      <c r="A32" s="23">
        <v>25</v>
      </c>
      <c r="B32" s="11" t="s">
        <v>188</v>
      </c>
      <c r="C32" s="11" t="s">
        <v>189</v>
      </c>
      <c r="D32" s="12">
        <v>7</v>
      </c>
      <c r="E32" s="12">
        <v>5</v>
      </c>
      <c r="F32" s="12"/>
      <c r="G32" s="12"/>
      <c r="H32" s="12"/>
      <c r="I32" s="12"/>
      <c r="J32" s="12"/>
      <c r="K32" s="12"/>
      <c r="L32" s="12">
        <v>12</v>
      </c>
      <c r="M32" s="12">
        <v>2</v>
      </c>
      <c r="N32" s="12">
        <v>1</v>
      </c>
      <c r="O32" s="12"/>
      <c r="P32" s="12"/>
      <c r="Q32" s="12">
        <v>2</v>
      </c>
      <c r="R32" s="12">
        <v>2</v>
      </c>
      <c r="S32" s="12"/>
      <c r="T32" s="12"/>
      <c r="U32" s="12">
        <v>7</v>
      </c>
    </row>
    <row r="33" spans="1:21" ht="16.5" customHeight="1">
      <c r="A33" s="23">
        <v>26</v>
      </c>
      <c r="B33" s="24" t="s">
        <v>190</v>
      </c>
      <c r="C33" s="11" t="s">
        <v>191</v>
      </c>
      <c r="D33" s="12">
        <v>8</v>
      </c>
      <c r="E33" s="12">
        <v>12</v>
      </c>
      <c r="F33" s="12"/>
      <c r="G33" s="12"/>
      <c r="H33" s="12"/>
      <c r="I33" s="12"/>
      <c r="J33" s="12">
        <v>10</v>
      </c>
      <c r="K33" s="12">
        <v>6</v>
      </c>
      <c r="L33" s="12">
        <v>36</v>
      </c>
      <c r="M33" s="12">
        <v>7</v>
      </c>
      <c r="N33" s="12">
        <v>11</v>
      </c>
      <c r="O33" s="12"/>
      <c r="P33" s="12"/>
      <c r="Q33" s="12">
        <v>8</v>
      </c>
      <c r="R33" s="12">
        <v>12</v>
      </c>
      <c r="S33" s="12"/>
      <c r="T33" s="12"/>
      <c r="U33" s="12">
        <v>38</v>
      </c>
    </row>
    <row r="34" spans="1:21" ht="16.5" customHeight="1">
      <c r="A34" s="23">
        <v>27</v>
      </c>
      <c r="B34" s="11" t="s">
        <v>192</v>
      </c>
      <c r="C34" s="11" t="s">
        <v>193</v>
      </c>
      <c r="D34" s="12">
        <v>8</v>
      </c>
      <c r="E34" s="12">
        <v>6</v>
      </c>
      <c r="F34" s="12"/>
      <c r="G34" s="12"/>
      <c r="H34" s="12"/>
      <c r="I34" s="12"/>
      <c r="J34" s="12">
        <v>7</v>
      </c>
      <c r="K34" s="12">
        <v>0</v>
      </c>
      <c r="L34" s="12">
        <v>21</v>
      </c>
      <c r="M34" s="12">
        <v>0</v>
      </c>
      <c r="N34" s="12">
        <v>2</v>
      </c>
      <c r="O34" s="12"/>
      <c r="P34" s="12"/>
      <c r="Q34" s="12">
        <v>8</v>
      </c>
      <c r="R34" s="12">
        <v>0</v>
      </c>
      <c r="S34" s="12"/>
      <c r="T34" s="12">
        <v>10</v>
      </c>
      <c r="U34" s="12"/>
    </row>
    <row r="35" spans="1:21" ht="16.5" customHeight="1">
      <c r="A35" s="23">
        <v>28</v>
      </c>
      <c r="B35" s="11" t="s">
        <v>194</v>
      </c>
      <c r="C35" s="11" t="s">
        <v>195</v>
      </c>
      <c r="D35" s="12">
        <v>8</v>
      </c>
      <c r="E35" s="12">
        <v>12</v>
      </c>
      <c r="F35" s="12"/>
      <c r="G35" s="12"/>
      <c r="H35" s="12">
        <v>12</v>
      </c>
      <c r="I35" s="12">
        <v>7</v>
      </c>
      <c r="J35" s="12"/>
      <c r="K35" s="12"/>
      <c r="L35" s="12">
        <v>39</v>
      </c>
      <c r="M35" s="12">
        <v>8</v>
      </c>
      <c r="N35" s="12">
        <v>12</v>
      </c>
      <c r="O35" s="12"/>
      <c r="P35" s="12"/>
      <c r="Q35" s="12">
        <v>8</v>
      </c>
      <c r="R35" s="12">
        <v>12</v>
      </c>
      <c r="S35" s="12"/>
      <c r="T35" s="12"/>
      <c r="U35" s="12">
        <v>40</v>
      </c>
    </row>
    <row r="36" spans="1:21" ht="13.5" customHeight="1">
      <c r="A36" s="23">
        <v>29</v>
      </c>
      <c r="B36" s="11" t="s">
        <v>196</v>
      </c>
      <c r="C36" s="11" t="s">
        <v>197</v>
      </c>
      <c r="D36" s="12">
        <v>7</v>
      </c>
      <c r="E36" s="12">
        <v>0</v>
      </c>
      <c r="F36" s="12"/>
      <c r="G36" s="12"/>
      <c r="H36" s="12"/>
      <c r="I36" s="12"/>
      <c r="J36" s="12">
        <v>1</v>
      </c>
      <c r="K36" s="12">
        <v>4</v>
      </c>
      <c r="L36" s="12">
        <v>12</v>
      </c>
      <c r="M36" s="12">
        <v>8</v>
      </c>
      <c r="N36" s="12">
        <v>8</v>
      </c>
      <c r="O36" s="12"/>
      <c r="P36" s="12"/>
      <c r="Q36" s="12">
        <v>0</v>
      </c>
      <c r="R36" s="12">
        <v>0</v>
      </c>
      <c r="S36" s="12"/>
      <c r="T36" s="12"/>
      <c r="U36" s="12">
        <v>16</v>
      </c>
    </row>
    <row r="37" spans="1:21" ht="16.5" customHeight="1">
      <c r="A37" s="23">
        <v>30</v>
      </c>
      <c r="B37" s="11" t="s">
        <v>198</v>
      </c>
      <c r="C37" s="11" t="s">
        <v>199</v>
      </c>
      <c r="D37" s="12">
        <v>6</v>
      </c>
      <c r="E37" s="12">
        <v>0</v>
      </c>
      <c r="F37" s="12"/>
      <c r="G37" s="12"/>
      <c r="H37" s="12"/>
      <c r="I37" s="12"/>
      <c r="J37" s="12">
        <v>1</v>
      </c>
      <c r="K37" s="12">
        <v>1</v>
      </c>
      <c r="L37" s="12">
        <v>8</v>
      </c>
      <c r="M37" s="12">
        <v>5</v>
      </c>
      <c r="N37" s="12">
        <v>0</v>
      </c>
      <c r="O37" s="12"/>
      <c r="P37" s="12"/>
      <c r="Q37" s="12">
        <v>2</v>
      </c>
      <c r="R37" s="12">
        <v>4</v>
      </c>
      <c r="S37" s="12"/>
      <c r="T37" s="12"/>
      <c r="U37" s="12">
        <v>11</v>
      </c>
    </row>
    <row r="38" spans="1:21" ht="16.5" customHeight="1">
      <c r="A38" s="23">
        <v>31</v>
      </c>
      <c r="B38" s="11" t="s">
        <v>200</v>
      </c>
      <c r="C38" s="11" t="s">
        <v>201</v>
      </c>
      <c r="D38" s="12"/>
      <c r="E38" s="12">
        <v>8</v>
      </c>
      <c r="F38" s="12">
        <v>12</v>
      </c>
      <c r="G38" s="12"/>
      <c r="H38" s="12"/>
      <c r="I38" s="12"/>
      <c r="J38" s="12">
        <v>12</v>
      </c>
      <c r="K38" s="12">
        <v>8</v>
      </c>
      <c r="L38" s="12">
        <v>40</v>
      </c>
      <c r="M38" s="12">
        <v>8</v>
      </c>
      <c r="N38" s="12">
        <v>12</v>
      </c>
      <c r="O38" s="12"/>
      <c r="P38" s="12"/>
      <c r="Q38" s="12">
        <v>8</v>
      </c>
      <c r="R38" s="12">
        <v>12</v>
      </c>
      <c r="S38" s="12"/>
      <c r="T38" s="12"/>
      <c r="U38" s="12">
        <v>40</v>
      </c>
    </row>
    <row r="39" spans="1:21" ht="16.5" customHeight="1">
      <c r="A39" s="25">
        <v>32</v>
      </c>
      <c r="B39" s="11" t="s">
        <v>202</v>
      </c>
      <c r="C39" s="11" t="s">
        <v>203</v>
      </c>
      <c r="D39" s="12">
        <v>7</v>
      </c>
      <c r="E39" s="12">
        <v>11</v>
      </c>
      <c r="F39" s="12">
        <v>4</v>
      </c>
      <c r="G39" s="12">
        <v>5</v>
      </c>
      <c r="H39" s="12">
        <v>8</v>
      </c>
      <c r="I39" s="12">
        <v>0</v>
      </c>
      <c r="J39" s="12">
        <v>7</v>
      </c>
      <c r="K39" s="12">
        <v>6</v>
      </c>
      <c r="L39" s="12">
        <v>30</v>
      </c>
      <c r="M39" s="12"/>
      <c r="N39" s="12"/>
      <c r="O39" s="12">
        <v>8</v>
      </c>
      <c r="P39" s="12">
        <v>12</v>
      </c>
      <c r="Q39" s="12">
        <v>7</v>
      </c>
      <c r="R39" s="12">
        <v>11</v>
      </c>
      <c r="S39" s="12">
        <v>6</v>
      </c>
      <c r="T39" s="12">
        <v>8</v>
      </c>
      <c r="U39" s="12">
        <v>38</v>
      </c>
    </row>
    <row r="40" spans="1:21" ht="16.5" customHeight="1">
      <c r="A40" s="25">
        <v>33</v>
      </c>
      <c r="B40" s="11" t="s">
        <v>204</v>
      </c>
      <c r="C40" s="11" t="s">
        <v>205</v>
      </c>
      <c r="D40" s="12"/>
      <c r="E40" s="12"/>
      <c r="F40" s="12">
        <v>8</v>
      </c>
      <c r="G40" s="12">
        <v>7</v>
      </c>
      <c r="H40" s="26"/>
      <c r="I40" s="12"/>
      <c r="J40" s="12">
        <v>9</v>
      </c>
      <c r="K40" s="12">
        <v>6</v>
      </c>
      <c r="L40" s="12">
        <v>30</v>
      </c>
      <c r="M40" s="12">
        <v>5</v>
      </c>
      <c r="N40" s="12">
        <v>12</v>
      </c>
      <c r="O40" s="12"/>
      <c r="P40" s="12"/>
      <c r="Q40" s="26">
        <v>8</v>
      </c>
      <c r="R40" s="12">
        <v>7</v>
      </c>
      <c r="S40" s="12"/>
      <c r="T40" s="12"/>
      <c r="U40" s="12">
        <v>32</v>
      </c>
    </row>
    <row r="41" spans="1:21" ht="16.5" customHeight="1">
      <c r="A41" s="25">
        <v>34</v>
      </c>
      <c r="B41" s="11" t="s">
        <v>206</v>
      </c>
      <c r="C41" s="11" t="s">
        <v>207</v>
      </c>
      <c r="D41" s="12">
        <v>7</v>
      </c>
      <c r="E41" s="12">
        <v>12</v>
      </c>
      <c r="F41" s="12"/>
      <c r="G41" s="12"/>
      <c r="H41" s="12"/>
      <c r="I41" s="12"/>
      <c r="J41" s="12">
        <v>12</v>
      </c>
      <c r="K41" s="12">
        <v>6</v>
      </c>
      <c r="L41" s="12">
        <v>37</v>
      </c>
      <c r="M41" s="12">
        <v>8</v>
      </c>
      <c r="N41" s="12">
        <v>12</v>
      </c>
      <c r="O41" s="12"/>
      <c r="P41" s="12"/>
      <c r="Q41" s="12">
        <v>8</v>
      </c>
      <c r="R41" s="12">
        <v>12</v>
      </c>
      <c r="S41" s="12"/>
      <c r="T41" s="12"/>
      <c r="U41" s="12">
        <v>40</v>
      </c>
    </row>
    <row r="42" spans="1:21" ht="16.5" customHeight="1">
      <c r="A42" s="25">
        <v>35</v>
      </c>
      <c r="B42" s="11" t="s">
        <v>208</v>
      </c>
      <c r="C42" s="11" t="s">
        <v>209</v>
      </c>
      <c r="D42" s="25">
        <v>8</v>
      </c>
      <c r="E42" s="12">
        <v>12</v>
      </c>
      <c r="F42" s="12"/>
      <c r="G42" s="12"/>
      <c r="H42" s="12"/>
      <c r="I42" s="12"/>
      <c r="J42" s="12">
        <v>12</v>
      </c>
      <c r="K42" s="12">
        <v>8</v>
      </c>
      <c r="L42" s="12">
        <v>40</v>
      </c>
      <c r="M42" s="25">
        <v>8</v>
      </c>
      <c r="N42" s="12">
        <v>12</v>
      </c>
      <c r="O42" s="12"/>
      <c r="P42" s="12"/>
      <c r="Q42" s="12">
        <v>8</v>
      </c>
      <c r="R42" s="12">
        <v>11</v>
      </c>
      <c r="S42" s="12"/>
      <c r="T42" s="12"/>
      <c r="U42" s="12">
        <v>39</v>
      </c>
    </row>
    <row r="43" spans="1:21" ht="16.5" customHeight="1">
      <c r="A43" s="25">
        <v>36</v>
      </c>
      <c r="B43" s="11" t="s">
        <v>210</v>
      </c>
      <c r="C43" s="11" t="s">
        <v>211</v>
      </c>
      <c r="D43" s="25">
        <v>7</v>
      </c>
      <c r="E43" s="12">
        <v>5</v>
      </c>
      <c r="F43" s="12"/>
      <c r="G43" s="12"/>
      <c r="H43" s="12"/>
      <c r="I43" s="12"/>
      <c r="J43" s="12">
        <v>1</v>
      </c>
      <c r="K43" s="12">
        <v>2</v>
      </c>
      <c r="L43" s="12">
        <v>15</v>
      </c>
      <c r="M43" s="25">
        <v>2</v>
      </c>
      <c r="N43" s="12">
        <v>1</v>
      </c>
      <c r="O43" s="12"/>
      <c r="P43" s="12"/>
      <c r="Q43" s="12">
        <v>8</v>
      </c>
      <c r="R43" s="12">
        <v>3</v>
      </c>
      <c r="S43" s="12"/>
      <c r="T43" s="12"/>
      <c r="U43" s="12">
        <v>14</v>
      </c>
    </row>
    <row r="44" spans="1:21" ht="16.5" customHeight="1">
      <c r="A44" s="25">
        <v>37</v>
      </c>
      <c r="B44" s="11" t="s">
        <v>212</v>
      </c>
      <c r="C44" s="11" t="s">
        <v>213</v>
      </c>
      <c r="D44" s="25">
        <v>8</v>
      </c>
      <c r="E44" s="12">
        <v>12</v>
      </c>
      <c r="F44" s="12"/>
      <c r="G44" s="12"/>
      <c r="H44" s="12"/>
      <c r="I44" s="12"/>
      <c r="J44" s="12">
        <v>9</v>
      </c>
      <c r="K44" s="12">
        <v>0</v>
      </c>
      <c r="L44" s="12">
        <v>30</v>
      </c>
      <c r="M44" s="25">
        <v>8</v>
      </c>
      <c r="N44" s="12">
        <v>11</v>
      </c>
      <c r="O44" s="12"/>
      <c r="P44" s="12"/>
      <c r="Q44" s="12">
        <v>8</v>
      </c>
      <c r="R44" s="12">
        <v>0</v>
      </c>
      <c r="S44" s="12"/>
      <c r="T44" s="12"/>
      <c r="U44" s="12">
        <v>27</v>
      </c>
    </row>
    <row r="45" spans="1:21" ht="16.5" customHeight="1">
      <c r="A45" s="25">
        <v>38</v>
      </c>
      <c r="B45" s="11" t="s">
        <v>214</v>
      </c>
      <c r="C45" s="11" t="s">
        <v>215</v>
      </c>
      <c r="D45" s="12">
        <v>7</v>
      </c>
      <c r="E45" s="12">
        <v>0</v>
      </c>
      <c r="F45" s="12"/>
      <c r="G45" s="12"/>
      <c r="H45" s="12"/>
      <c r="I45" s="12"/>
      <c r="J45" s="12"/>
      <c r="K45" s="12"/>
      <c r="L45" s="12">
        <v>7</v>
      </c>
      <c r="M45" s="12">
        <v>8</v>
      </c>
      <c r="N45" s="12">
        <v>1</v>
      </c>
      <c r="O45" s="12"/>
      <c r="P45" s="12"/>
      <c r="Q45" s="12">
        <v>6</v>
      </c>
      <c r="R45" s="12">
        <v>0</v>
      </c>
      <c r="S45" s="12"/>
      <c r="T45" s="12"/>
      <c r="U45" s="12">
        <v>15</v>
      </c>
    </row>
    <row r="46" spans="1:21" ht="16.5" customHeight="1">
      <c r="A46" s="25">
        <v>39</v>
      </c>
      <c r="B46" s="11" t="s">
        <v>216</v>
      </c>
      <c r="C46" s="11" t="s">
        <v>217</v>
      </c>
      <c r="D46" s="12">
        <v>8</v>
      </c>
      <c r="E46" s="12">
        <v>12</v>
      </c>
      <c r="F46" s="12"/>
      <c r="G46" s="12"/>
      <c r="H46" s="12"/>
      <c r="I46" s="12"/>
      <c r="J46" s="12">
        <v>12</v>
      </c>
      <c r="K46" s="12">
        <v>5</v>
      </c>
      <c r="L46" s="12">
        <v>37</v>
      </c>
      <c r="M46" s="12">
        <v>7</v>
      </c>
      <c r="N46" s="12">
        <v>12</v>
      </c>
      <c r="O46" s="12"/>
      <c r="P46" s="12"/>
      <c r="Q46" s="12">
        <v>7</v>
      </c>
      <c r="R46" s="12">
        <v>12</v>
      </c>
      <c r="S46" s="12"/>
      <c r="T46" s="12"/>
      <c r="U46" s="12">
        <v>38</v>
      </c>
    </row>
    <row r="47" spans="1:21" ht="16.5" customHeight="1">
      <c r="A47" s="25">
        <v>40</v>
      </c>
      <c r="B47" s="11" t="s">
        <v>218</v>
      </c>
      <c r="C47" s="11" t="s">
        <v>219</v>
      </c>
      <c r="D47" s="12">
        <v>8</v>
      </c>
      <c r="E47" s="12">
        <v>11</v>
      </c>
      <c r="F47" s="12"/>
      <c r="G47" s="12"/>
      <c r="H47" s="12"/>
      <c r="I47" s="12"/>
      <c r="J47" s="12">
        <v>12</v>
      </c>
      <c r="K47" s="12">
        <v>8</v>
      </c>
      <c r="L47" s="12">
        <v>39</v>
      </c>
      <c r="M47" s="12">
        <v>8</v>
      </c>
      <c r="N47" s="12">
        <v>12</v>
      </c>
      <c r="O47" s="12"/>
      <c r="P47" s="12"/>
      <c r="Q47" s="12">
        <v>6</v>
      </c>
      <c r="R47" s="12">
        <v>12</v>
      </c>
      <c r="S47" s="12"/>
      <c r="T47" s="12"/>
      <c r="U47" s="12">
        <v>38</v>
      </c>
    </row>
    <row r="48" spans="1:21" ht="16.5" customHeight="1">
      <c r="A48" s="25">
        <v>41</v>
      </c>
      <c r="B48" s="11" t="s">
        <v>220</v>
      </c>
      <c r="C48" s="11" t="s">
        <v>221</v>
      </c>
      <c r="D48" s="12">
        <v>8</v>
      </c>
      <c r="E48" s="12">
        <v>11</v>
      </c>
      <c r="F48" s="12"/>
      <c r="G48" s="12"/>
      <c r="H48" s="12"/>
      <c r="I48" s="12"/>
      <c r="J48" s="12">
        <v>10</v>
      </c>
      <c r="K48" s="12">
        <v>6</v>
      </c>
      <c r="L48" s="12">
        <v>35</v>
      </c>
      <c r="M48" s="12">
        <v>8</v>
      </c>
      <c r="N48" s="12">
        <v>10</v>
      </c>
      <c r="O48" s="12"/>
      <c r="P48" s="12"/>
      <c r="Q48" s="12">
        <v>3</v>
      </c>
      <c r="R48" s="12">
        <v>6</v>
      </c>
      <c r="S48" s="12"/>
      <c r="T48" s="12"/>
      <c r="U48" s="12">
        <v>27</v>
      </c>
    </row>
    <row r="49" spans="1:21" ht="16.5" customHeight="1">
      <c r="A49" s="25">
        <v>42</v>
      </c>
      <c r="B49" s="11" t="s">
        <v>222</v>
      </c>
      <c r="C49" s="11" t="s">
        <v>223</v>
      </c>
      <c r="D49" s="12">
        <v>7</v>
      </c>
      <c r="E49" s="12">
        <v>10</v>
      </c>
      <c r="F49" s="12"/>
      <c r="G49" s="12"/>
      <c r="H49" s="12"/>
      <c r="I49" s="12"/>
      <c r="J49" s="12">
        <v>10</v>
      </c>
      <c r="K49" s="12">
        <v>8</v>
      </c>
      <c r="L49" s="12">
        <v>35</v>
      </c>
      <c r="M49" s="12">
        <v>8</v>
      </c>
      <c r="N49" s="12">
        <v>12</v>
      </c>
      <c r="O49" s="12"/>
      <c r="P49" s="12"/>
      <c r="Q49" s="12">
        <v>8</v>
      </c>
      <c r="R49" s="12">
        <v>12</v>
      </c>
      <c r="S49" s="12"/>
      <c r="T49" s="12"/>
      <c r="U49" s="12">
        <v>40</v>
      </c>
    </row>
    <row r="50" spans="1:21" ht="16.5" customHeight="1">
      <c r="A50" s="25">
        <v>43</v>
      </c>
      <c r="B50" s="11" t="s">
        <v>224</v>
      </c>
      <c r="C50" s="11" t="s">
        <v>225</v>
      </c>
      <c r="D50" s="12">
        <v>8</v>
      </c>
      <c r="E50" s="12">
        <v>8</v>
      </c>
      <c r="F50" s="12"/>
      <c r="G50" s="12"/>
      <c r="H50" s="12"/>
      <c r="I50" s="12"/>
      <c r="J50" s="12">
        <v>0</v>
      </c>
      <c r="K50" s="12">
        <v>2</v>
      </c>
      <c r="L50" s="12">
        <v>18</v>
      </c>
      <c r="M50" s="12">
        <v>8</v>
      </c>
      <c r="N50" s="12">
        <v>0</v>
      </c>
      <c r="O50" s="12"/>
      <c r="P50" s="12"/>
      <c r="Q50" s="12"/>
      <c r="R50" s="12"/>
      <c r="S50" s="12">
        <v>0</v>
      </c>
      <c r="T50" s="12">
        <v>8</v>
      </c>
      <c r="U50" s="12">
        <v>16</v>
      </c>
    </row>
    <row r="51" spans="1:21" ht="16.5" customHeight="1">
      <c r="A51" s="25">
        <v>44</v>
      </c>
      <c r="B51" s="11" t="s">
        <v>226</v>
      </c>
      <c r="C51" s="11" t="s">
        <v>227</v>
      </c>
      <c r="D51" s="12">
        <v>8</v>
      </c>
      <c r="E51" s="12">
        <v>12</v>
      </c>
      <c r="F51" s="12"/>
      <c r="G51" s="12"/>
      <c r="H51" s="12"/>
      <c r="I51" s="12"/>
      <c r="J51" s="12">
        <v>10</v>
      </c>
      <c r="K51" s="12">
        <v>6</v>
      </c>
      <c r="L51" s="12">
        <v>36</v>
      </c>
      <c r="M51" s="12">
        <v>8</v>
      </c>
      <c r="N51" s="12">
        <v>0</v>
      </c>
      <c r="O51" s="12">
        <v>8</v>
      </c>
      <c r="P51" s="12">
        <v>0</v>
      </c>
      <c r="Q51" s="12"/>
      <c r="R51" s="12"/>
      <c r="S51" s="12">
        <v>8</v>
      </c>
      <c r="T51" s="12">
        <v>12</v>
      </c>
      <c r="U51" s="12">
        <v>28</v>
      </c>
    </row>
    <row r="52" spans="1:21" ht="16.5" customHeight="1">
      <c r="A52" s="25">
        <v>45</v>
      </c>
      <c r="B52" s="11" t="s">
        <v>228</v>
      </c>
      <c r="C52" s="11" t="s">
        <v>229</v>
      </c>
      <c r="D52" s="12">
        <v>7</v>
      </c>
      <c r="E52" s="12">
        <v>2</v>
      </c>
      <c r="F52" s="12"/>
      <c r="G52" s="12"/>
      <c r="H52" s="12"/>
      <c r="I52" s="12"/>
      <c r="J52" s="12">
        <v>7</v>
      </c>
      <c r="K52" s="12">
        <v>1</v>
      </c>
      <c r="L52" s="12">
        <v>17</v>
      </c>
      <c r="M52" s="12">
        <v>8</v>
      </c>
      <c r="N52" s="12">
        <v>12</v>
      </c>
      <c r="O52" s="12"/>
      <c r="P52" s="12"/>
      <c r="Q52" s="12">
        <v>3</v>
      </c>
      <c r="R52" s="12">
        <v>1</v>
      </c>
      <c r="S52" s="12"/>
      <c r="T52" s="12"/>
      <c r="U52" s="12">
        <v>24</v>
      </c>
    </row>
    <row r="53" spans="1:21" ht="16.5" customHeight="1">
      <c r="A53" s="25">
        <v>46</v>
      </c>
      <c r="B53" s="11" t="s">
        <v>230</v>
      </c>
      <c r="C53" s="11" t="s">
        <v>231</v>
      </c>
      <c r="D53" s="12">
        <v>7</v>
      </c>
      <c r="E53" s="12">
        <v>12</v>
      </c>
      <c r="F53" s="12"/>
      <c r="G53" s="12"/>
      <c r="H53" s="12"/>
      <c r="I53" s="12"/>
      <c r="J53" s="12">
        <v>5</v>
      </c>
      <c r="K53" s="12">
        <v>6</v>
      </c>
      <c r="L53" s="12">
        <v>30</v>
      </c>
      <c r="M53" s="12">
        <v>8</v>
      </c>
      <c r="N53" s="12">
        <v>10</v>
      </c>
      <c r="O53" s="12"/>
      <c r="P53" s="12"/>
      <c r="Q53" s="12">
        <v>5</v>
      </c>
      <c r="R53" s="12">
        <v>0</v>
      </c>
      <c r="S53" s="12"/>
      <c r="T53" s="12"/>
      <c r="U53" s="12">
        <v>23</v>
      </c>
    </row>
    <row r="54" spans="1:21" ht="16.5" customHeight="1">
      <c r="A54" s="25">
        <v>49</v>
      </c>
      <c r="B54" s="11" t="s">
        <v>232</v>
      </c>
      <c r="C54" s="11" t="s">
        <v>233</v>
      </c>
      <c r="D54" s="12">
        <v>8</v>
      </c>
      <c r="E54" s="12">
        <v>11</v>
      </c>
      <c r="F54" s="12"/>
      <c r="G54" s="12"/>
      <c r="H54" s="12"/>
      <c r="I54" s="12"/>
      <c r="J54" s="12">
        <v>11</v>
      </c>
      <c r="K54" s="12">
        <v>6</v>
      </c>
      <c r="L54" s="12">
        <v>36</v>
      </c>
      <c r="M54" s="12">
        <v>8</v>
      </c>
      <c r="N54" s="12">
        <v>9</v>
      </c>
      <c r="O54" s="12"/>
      <c r="P54" s="12"/>
      <c r="Q54" s="12">
        <v>8</v>
      </c>
      <c r="R54" s="12">
        <v>0</v>
      </c>
      <c r="S54" s="12">
        <v>0</v>
      </c>
      <c r="T54" s="12">
        <v>10</v>
      </c>
      <c r="U54" s="12">
        <v>27</v>
      </c>
    </row>
    <row r="55" spans="1:21" ht="16.5" customHeight="1">
      <c r="A55" s="25">
        <v>50</v>
      </c>
      <c r="B55" s="11" t="s">
        <v>234</v>
      </c>
      <c r="C55" s="11" t="s">
        <v>235</v>
      </c>
      <c r="D55" s="12">
        <v>7</v>
      </c>
      <c r="E55" s="12">
        <v>12</v>
      </c>
      <c r="F55" s="12"/>
      <c r="G55" s="12"/>
      <c r="H55" s="12"/>
      <c r="I55" s="12"/>
      <c r="J55" s="12">
        <v>10</v>
      </c>
      <c r="K55" s="12">
        <v>8</v>
      </c>
      <c r="L55" s="12">
        <v>37</v>
      </c>
      <c r="M55" s="12">
        <v>8</v>
      </c>
      <c r="N55" s="12">
        <v>12</v>
      </c>
      <c r="O55" s="12"/>
      <c r="P55" s="12"/>
      <c r="Q55" s="12">
        <v>6</v>
      </c>
      <c r="R55" s="12">
        <v>12</v>
      </c>
      <c r="S55" s="12"/>
      <c r="T55" s="12"/>
      <c r="U55" s="12">
        <v>38</v>
      </c>
    </row>
    <row r="56" spans="1:21" ht="16.5" customHeight="1">
      <c r="A56" s="25">
        <v>51</v>
      </c>
      <c r="B56" s="11" t="s">
        <v>236</v>
      </c>
      <c r="C56" s="11" t="s">
        <v>237</v>
      </c>
      <c r="D56" s="12">
        <v>7</v>
      </c>
      <c r="E56" s="12">
        <v>9</v>
      </c>
      <c r="F56" s="12"/>
      <c r="G56" s="12"/>
      <c r="H56" s="12"/>
      <c r="I56" s="12"/>
      <c r="J56" s="12">
        <v>9</v>
      </c>
      <c r="K56" s="12">
        <v>6</v>
      </c>
      <c r="L56" s="12">
        <v>31</v>
      </c>
      <c r="M56" s="12">
        <v>8</v>
      </c>
      <c r="N56" s="12">
        <v>12</v>
      </c>
      <c r="O56" s="12"/>
      <c r="P56" s="12"/>
      <c r="Q56" s="12">
        <v>7</v>
      </c>
      <c r="R56" s="12">
        <v>12</v>
      </c>
      <c r="S56" s="12"/>
      <c r="T56" s="12"/>
      <c r="U56" s="12">
        <v>39</v>
      </c>
    </row>
    <row r="57" spans="1:21" ht="16.5" customHeight="1">
      <c r="A57" s="25">
        <v>52</v>
      </c>
      <c r="B57" s="11" t="s">
        <v>238</v>
      </c>
      <c r="C57" s="11" t="s">
        <v>239</v>
      </c>
      <c r="D57" s="12">
        <v>1</v>
      </c>
      <c r="E57" s="12">
        <v>0</v>
      </c>
      <c r="F57" s="12"/>
      <c r="G57" s="12"/>
      <c r="H57" s="12"/>
      <c r="I57" s="12"/>
      <c r="J57" s="12"/>
      <c r="K57" s="12"/>
      <c r="L57" s="12">
        <v>1</v>
      </c>
      <c r="M57" s="12">
        <v>7</v>
      </c>
      <c r="N57" s="12">
        <v>8</v>
      </c>
      <c r="O57" s="12"/>
      <c r="P57" s="12"/>
      <c r="Q57" s="12">
        <v>7</v>
      </c>
      <c r="R57" s="12">
        <v>8</v>
      </c>
      <c r="S57" s="12"/>
      <c r="T57" s="12"/>
      <c r="U57" s="12">
        <v>30</v>
      </c>
    </row>
    <row r="58" spans="1:21" ht="16.5" customHeight="1">
      <c r="A58" s="25">
        <v>53</v>
      </c>
      <c r="B58" s="11" t="s">
        <v>240</v>
      </c>
      <c r="C58" s="11" t="s">
        <v>241</v>
      </c>
      <c r="D58" s="12">
        <v>8</v>
      </c>
      <c r="E58" s="12">
        <v>12</v>
      </c>
      <c r="F58" s="12"/>
      <c r="G58" s="12"/>
      <c r="H58" s="12"/>
      <c r="I58" s="12"/>
      <c r="J58" s="12">
        <v>10</v>
      </c>
      <c r="K58" s="12">
        <v>0</v>
      </c>
      <c r="L58" s="12">
        <v>30</v>
      </c>
      <c r="M58" s="12">
        <v>8</v>
      </c>
      <c r="N58" s="12">
        <v>12</v>
      </c>
      <c r="O58" s="12"/>
      <c r="P58" s="12"/>
      <c r="Q58" s="12">
        <v>6</v>
      </c>
      <c r="R58" s="12">
        <v>0</v>
      </c>
      <c r="S58" s="12"/>
      <c r="T58" s="12"/>
      <c r="U58" s="12">
        <v>26</v>
      </c>
    </row>
    <row r="59" spans="1:21" ht="16.5" customHeight="1">
      <c r="A59" s="25">
        <v>54</v>
      </c>
      <c r="B59" s="11" t="s">
        <v>242</v>
      </c>
      <c r="C59" s="11" t="s">
        <v>243</v>
      </c>
      <c r="D59" s="12">
        <v>8</v>
      </c>
      <c r="E59" s="12">
        <v>10</v>
      </c>
      <c r="F59" s="12"/>
      <c r="G59" s="12"/>
      <c r="H59" s="12"/>
      <c r="I59" s="12"/>
      <c r="J59" s="12">
        <v>3</v>
      </c>
      <c r="K59" s="12">
        <v>2</v>
      </c>
      <c r="L59" s="12">
        <v>23</v>
      </c>
      <c r="M59" s="12">
        <v>6</v>
      </c>
      <c r="N59" s="12">
        <v>0</v>
      </c>
      <c r="O59" s="12"/>
      <c r="P59" s="12"/>
      <c r="Q59" s="12">
        <v>0</v>
      </c>
      <c r="R59" s="12">
        <v>8</v>
      </c>
      <c r="S59" s="12"/>
      <c r="T59" s="12"/>
      <c r="U59" s="12">
        <v>14</v>
      </c>
    </row>
    <row r="60" spans="1:21" ht="16.5" customHeight="1">
      <c r="A60" s="25">
        <v>55</v>
      </c>
      <c r="B60" s="11" t="s">
        <v>244</v>
      </c>
      <c r="C60" s="11" t="s">
        <v>245</v>
      </c>
      <c r="D60" s="12">
        <v>6</v>
      </c>
      <c r="E60" s="12">
        <v>0</v>
      </c>
      <c r="F60" s="12"/>
      <c r="G60" s="12"/>
      <c r="H60" s="12"/>
      <c r="I60" s="12"/>
      <c r="J60" s="12">
        <v>1</v>
      </c>
      <c r="K60" s="12">
        <v>1</v>
      </c>
      <c r="L60" s="12">
        <v>8</v>
      </c>
      <c r="M60" s="12">
        <v>5</v>
      </c>
      <c r="N60" s="12">
        <v>0</v>
      </c>
      <c r="O60" s="12"/>
      <c r="P60" s="12"/>
      <c r="Q60" s="12">
        <v>2</v>
      </c>
      <c r="R60" s="12">
        <v>4</v>
      </c>
      <c r="S60" s="12"/>
      <c r="T60" s="12"/>
      <c r="U60" s="12">
        <v>11</v>
      </c>
    </row>
    <row r="61" spans="1:21" ht="16.5" customHeight="1">
      <c r="A61" s="25">
        <v>56</v>
      </c>
      <c r="B61" s="41" t="s">
        <v>134</v>
      </c>
      <c r="C61" s="41" t="s">
        <v>246</v>
      </c>
      <c r="D61" s="12">
        <v>7</v>
      </c>
      <c r="E61" s="12">
        <v>7</v>
      </c>
      <c r="F61" s="12"/>
      <c r="G61" s="12"/>
      <c r="H61" s="12"/>
      <c r="I61" s="12"/>
      <c r="J61" s="12">
        <v>1</v>
      </c>
      <c r="K61" s="12">
        <v>0</v>
      </c>
      <c r="L61" s="12">
        <v>15</v>
      </c>
      <c r="M61" s="12">
        <v>8</v>
      </c>
      <c r="N61" s="12">
        <v>9</v>
      </c>
      <c r="O61" s="12"/>
      <c r="P61" s="12"/>
      <c r="Q61" s="12">
        <v>0</v>
      </c>
      <c r="R61" s="12">
        <v>0</v>
      </c>
      <c r="S61" s="12"/>
      <c r="T61" s="12"/>
      <c r="U61" s="12">
        <v>17</v>
      </c>
    </row>
    <row r="62" spans="1:21" ht="16.5" customHeight="1">
      <c r="A62" s="25">
        <v>57</v>
      </c>
      <c r="B62" s="41" t="s">
        <v>134</v>
      </c>
      <c r="C62" s="41" t="s">
        <v>247</v>
      </c>
      <c r="D62" s="12">
        <v>7</v>
      </c>
      <c r="E62" s="12">
        <v>9</v>
      </c>
      <c r="F62" s="12"/>
      <c r="G62" s="12"/>
      <c r="H62" s="12"/>
      <c r="I62" s="12"/>
      <c r="J62" s="12">
        <v>1</v>
      </c>
      <c r="K62" s="12">
        <v>0</v>
      </c>
      <c r="L62" s="12">
        <v>17</v>
      </c>
      <c r="M62" s="12">
        <v>5</v>
      </c>
      <c r="N62" s="12">
        <v>8</v>
      </c>
      <c r="O62" s="12"/>
      <c r="P62" s="12"/>
      <c r="Q62" s="12">
        <v>6</v>
      </c>
      <c r="R62" s="12">
        <v>2</v>
      </c>
      <c r="S62" s="12"/>
      <c r="T62" s="12"/>
      <c r="U62" s="12">
        <v>21</v>
      </c>
    </row>
    <row r="63" spans="1:21" ht="16.5" customHeight="1">
      <c r="A63" s="25">
        <v>58</v>
      </c>
      <c r="B63" s="41" t="s">
        <v>134</v>
      </c>
      <c r="C63" s="42" t="s">
        <v>248</v>
      </c>
      <c r="D63" s="12">
        <v>8</v>
      </c>
      <c r="E63" s="12">
        <v>2</v>
      </c>
      <c r="F63" s="12"/>
      <c r="G63" s="12"/>
      <c r="H63" s="12"/>
      <c r="I63" s="12"/>
      <c r="J63" s="12">
        <v>0</v>
      </c>
      <c r="K63" s="12">
        <v>2</v>
      </c>
      <c r="L63" s="12">
        <v>12</v>
      </c>
      <c r="M63" s="12">
        <v>7</v>
      </c>
      <c r="N63" s="12">
        <v>0</v>
      </c>
      <c r="O63" s="12"/>
      <c r="P63" s="12"/>
      <c r="Q63" s="12"/>
      <c r="R63" s="12"/>
      <c r="S63" s="12"/>
      <c r="T63" s="12"/>
      <c r="U63" s="12">
        <v>7</v>
      </c>
    </row>
    <row r="64" spans="1:21" ht="16.5" customHeight="1">
      <c r="A64" s="25">
        <v>59</v>
      </c>
      <c r="B64" s="41" t="s">
        <v>134</v>
      </c>
      <c r="C64" s="41" t="s">
        <v>249</v>
      </c>
      <c r="D64" s="12">
        <v>7</v>
      </c>
      <c r="E64" s="12">
        <v>11</v>
      </c>
      <c r="F64" s="12"/>
      <c r="G64" s="12"/>
      <c r="H64" s="12"/>
      <c r="I64" s="12"/>
      <c r="J64" s="12">
        <v>9</v>
      </c>
      <c r="K64" s="12">
        <v>0</v>
      </c>
      <c r="L64" s="12">
        <v>27</v>
      </c>
      <c r="M64" s="12">
        <v>7</v>
      </c>
      <c r="N64" s="12">
        <v>8</v>
      </c>
      <c r="O64" s="12"/>
      <c r="P64" s="12"/>
      <c r="Q64" s="12">
        <v>7</v>
      </c>
      <c r="R64" s="12">
        <v>2</v>
      </c>
      <c r="S64" s="12"/>
      <c r="T64" s="12"/>
      <c r="U64" s="12">
        <v>24</v>
      </c>
    </row>
    <row r="65" spans="1:21" ht="16.5" customHeight="1">
      <c r="A65" s="25">
        <v>60</v>
      </c>
      <c r="B65" s="41" t="s">
        <v>134</v>
      </c>
      <c r="C65" s="41" t="s">
        <v>250</v>
      </c>
      <c r="D65" s="12">
        <v>8</v>
      </c>
      <c r="E65" s="12">
        <v>10</v>
      </c>
      <c r="F65" s="12"/>
      <c r="G65" s="12"/>
      <c r="H65" s="12"/>
      <c r="I65" s="12"/>
      <c r="J65" s="12"/>
      <c r="K65" s="12"/>
      <c r="L65" s="12">
        <v>18</v>
      </c>
      <c r="M65" s="12">
        <v>8</v>
      </c>
      <c r="N65" s="12">
        <v>7</v>
      </c>
      <c r="O65" s="12"/>
      <c r="P65" s="12"/>
      <c r="Q65" s="12">
        <v>6</v>
      </c>
      <c r="R65" s="12">
        <v>1</v>
      </c>
      <c r="S65" s="12"/>
      <c r="T65" s="12"/>
      <c r="U65" s="12">
        <v>22</v>
      </c>
    </row>
    <row r="66" spans="1:21" ht="16.5" customHeight="1">
      <c r="A66" s="25">
        <v>61</v>
      </c>
      <c r="B66" s="41" t="s">
        <v>134</v>
      </c>
      <c r="C66" s="41" t="s">
        <v>251</v>
      </c>
      <c r="D66" s="12">
        <v>8</v>
      </c>
      <c r="E66" s="12">
        <v>10</v>
      </c>
      <c r="F66" s="12"/>
      <c r="G66" s="12"/>
      <c r="H66" s="12"/>
      <c r="I66" s="12"/>
      <c r="J66" s="12">
        <v>8</v>
      </c>
      <c r="K66" s="12">
        <v>0</v>
      </c>
      <c r="L66" s="12">
        <v>14</v>
      </c>
      <c r="M66" s="12">
        <v>8</v>
      </c>
      <c r="N66" s="12">
        <v>3</v>
      </c>
      <c r="O66" s="12"/>
      <c r="P66" s="12"/>
      <c r="Q66" s="12"/>
      <c r="R66" s="12"/>
      <c r="S66" s="12">
        <v>3</v>
      </c>
      <c r="T66" s="12">
        <v>0</v>
      </c>
      <c r="U66" s="12">
        <v>26</v>
      </c>
    </row>
    <row r="67" spans="1:21" ht="16.5" customHeight="1">
      <c r="A67" s="25">
        <v>62</v>
      </c>
      <c r="B67" s="41" t="s">
        <v>134</v>
      </c>
      <c r="C67" s="41" t="s">
        <v>252</v>
      </c>
      <c r="D67" s="12"/>
      <c r="E67" s="12"/>
      <c r="F67" s="12">
        <v>8</v>
      </c>
      <c r="G67" s="12">
        <v>9</v>
      </c>
      <c r="H67" s="12"/>
      <c r="I67" s="12"/>
      <c r="J67" s="12">
        <v>8</v>
      </c>
      <c r="K67" s="12">
        <v>0</v>
      </c>
      <c r="L67" s="12">
        <v>25</v>
      </c>
      <c r="M67" s="12">
        <v>7</v>
      </c>
      <c r="N67" s="12">
        <v>0</v>
      </c>
      <c r="O67" s="12"/>
      <c r="P67" s="12"/>
      <c r="Q67" s="12">
        <v>5</v>
      </c>
      <c r="R67" s="12">
        <v>9</v>
      </c>
      <c r="S67" s="12"/>
      <c r="T67" s="12"/>
      <c r="U67" s="12">
        <v>29</v>
      </c>
    </row>
    <row r="68" spans="1:21" ht="16.5" customHeight="1">
      <c r="A68" s="25">
        <v>63</v>
      </c>
      <c r="B68" s="41" t="s">
        <v>253</v>
      </c>
      <c r="C68" s="41" t="s">
        <v>254</v>
      </c>
      <c r="D68" s="12">
        <v>8</v>
      </c>
      <c r="E68" s="12">
        <v>11</v>
      </c>
      <c r="F68" s="12"/>
      <c r="G68" s="12"/>
      <c r="H68" s="12"/>
      <c r="I68" s="12"/>
      <c r="J68" s="12">
        <v>11</v>
      </c>
      <c r="K68" s="12">
        <v>6</v>
      </c>
      <c r="L68" s="12">
        <v>36</v>
      </c>
      <c r="M68" s="12">
        <v>7</v>
      </c>
      <c r="N68" s="12">
        <v>2</v>
      </c>
      <c r="O68" s="12">
        <v>8</v>
      </c>
      <c r="P68" s="12">
        <v>6</v>
      </c>
      <c r="Q68" s="12">
        <v>7</v>
      </c>
      <c r="R68" s="12">
        <v>1</v>
      </c>
      <c r="S68" s="12">
        <v>6</v>
      </c>
      <c r="T68" s="12">
        <v>0</v>
      </c>
      <c r="U68" s="12">
        <v>22</v>
      </c>
    </row>
    <row r="69" spans="1:21" ht="16.5" customHeight="1">
      <c r="A69" s="27">
        <v>64</v>
      </c>
      <c r="B69" s="43" t="s">
        <v>255</v>
      </c>
      <c r="C69" s="44" t="s">
        <v>256</v>
      </c>
      <c r="D69" s="9">
        <v>0</v>
      </c>
      <c r="E69" s="9">
        <v>10</v>
      </c>
      <c r="F69" s="28"/>
      <c r="G69" s="28"/>
      <c r="H69" s="28"/>
      <c r="I69" s="28"/>
      <c r="J69" s="9">
        <v>3</v>
      </c>
      <c r="K69" s="9">
        <v>3</v>
      </c>
      <c r="L69" s="9">
        <v>16</v>
      </c>
      <c r="M69" s="9"/>
      <c r="N69" s="28"/>
      <c r="O69" s="28">
        <v>7</v>
      </c>
      <c r="P69" s="28">
        <v>1</v>
      </c>
      <c r="Q69" s="28"/>
      <c r="R69" s="28"/>
      <c r="S69" s="28"/>
      <c r="T69" s="28"/>
      <c r="U69" s="9">
        <v>8</v>
      </c>
    </row>
    <row r="70" spans="1:21" ht="16.5" customHeight="1"/>
    <row r="71" spans="1:21" ht="16.5" customHeight="1"/>
    <row r="72" spans="1:21" ht="16.5" customHeight="1"/>
    <row r="73" spans="1:21" ht="16.5" customHeight="1"/>
    <row r="74" spans="1:21" ht="16.5" customHeight="1"/>
    <row r="75" spans="1:21" ht="16.5" customHeight="1"/>
    <row r="76" spans="1:21" ht="16.5" customHeight="1"/>
    <row r="77" spans="1:21" ht="16.5" customHeight="1"/>
    <row r="78" spans="1:21" ht="16.5" customHeight="1"/>
    <row r="79" spans="1:21" ht="16.5" customHeight="1"/>
    <row r="80" spans="1:21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mergeCells count="10">
    <mergeCell ref="B6:B7"/>
    <mergeCell ref="A6:A7"/>
    <mergeCell ref="U6:U7"/>
    <mergeCell ref="A1:U1"/>
    <mergeCell ref="A2:U2"/>
    <mergeCell ref="A3:U3"/>
    <mergeCell ref="A4:U4"/>
    <mergeCell ref="A5:U5"/>
    <mergeCell ref="C6:C7"/>
    <mergeCell ref="L6:L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6A12-7E8D-46D6-86C7-BF105C112E81}">
  <dimension ref="A5:J69"/>
  <sheetViews>
    <sheetView workbookViewId="0">
      <selection activeCell="F1" sqref="F1"/>
    </sheetView>
  </sheetViews>
  <sheetFormatPr defaultRowHeight="14.5"/>
  <cols>
    <col min="1" max="1" width="10.453125" customWidth="1"/>
    <col min="2" max="2" width="12.90625" customWidth="1"/>
    <col min="3" max="3" width="16.54296875" customWidth="1"/>
    <col min="7" max="7" width="20.08984375" customWidth="1"/>
    <col min="8" max="8" width="15.453125" customWidth="1"/>
    <col min="9" max="9" width="14.6328125" customWidth="1"/>
  </cols>
  <sheetData>
    <row r="5" spans="1:10" ht="15" thickBot="1"/>
    <row r="6" spans="1:10">
      <c r="A6" s="57" t="s">
        <v>5</v>
      </c>
      <c r="B6" s="57" t="s">
        <v>6</v>
      </c>
      <c r="C6" s="57" t="s">
        <v>7</v>
      </c>
      <c r="D6" s="59" t="s">
        <v>266</v>
      </c>
      <c r="E6" s="57" t="s">
        <v>267</v>
      </c>
      <c r="F6" s="55" t="s">
        <v>259</v>
      </c>
      <c r="G6" s="55" t="s">
        <v>268</v>
      </c>
      <c r="H6" s="55" t="s">
        <v>269</v>
      </c>
      <c r="I6" s="55" t="s">
        <v>270</v>
      </c>
      <c r="J6" s="55" t="s">
        <v>10</v>
      </c>
    </row>
    <row r="7" spans="1:10" ht="15" thickBot="1">
      <c r="A7" s="58"/>
      <c r="B7" s="58"/>
      <c r="C7" s="58"/>
      <c r="D7" s="60"/>
      <c r="E7" s="61"/>
      <c r="F7" s="56"/>
      <c r="G7" s="56"/>
      <c r="H7" s="56"/>
      <c r="I7" s="56"/>
      <c r="J7" s="56"/>
    </row>
    <row r="8" spans="1:10">
      <c r="A8" s="39">
        <v>1</v>
      </c>
      <c r="B8" s="40" t="s">
        <v>140</v>
      </c>
      <c r="C8" s="40" t="s">
        <v>141</v>
      </c>
      <c r="D8" s="31" cm="1">
        <f t="array" ref="D8:D69">'3rd B '!L8:L69</f>
        <v>37</v>
      </c>
      <c r="E8" s="31" cm="1">
        <f t="array" ref="E8:E69">'3rd B '!U8:U69</f>
        <v>40</v>
      </c>
      <c r="F8" s="31">
        <f>AVERAGE(D8,E8)</f>
        <v>38.5</v>
      </c>
      <c r="G8" s="31">
        <f>(F8/40)*25</f>
        <v>24.0625</v>
      </c>
      <c r="H8" s="31"/>
      <c r="I8" s="31"/>
      <c r="J8" s="31">
        <f>G8+H8+I8</f>
        <v>24.0625</v>
      </c>
    </row>
    <row r="9" spans="1:10">
      <c r="A9" s="35">
        <v>2</v>
      </c>
      <c r="B9" s="36" t="s">
        <v>142</v>
      </c>
      <c r="C9" s="36" t="s">
        <v>143</v>
      </c>
      <c r="D9" s="29">
        <v>18</v>
      </c>
      <c r="E9" s="29">
        <v>17</v>
      </c>
      <c r="F9" s="29">
        <f t="shared" ref="F9:F69" si="0">AVERAGE(D9,E9)</f>
        <v>17.5</v>
      </c>
      <c r="G9" s="29">
        <f t="shared" ref="G9:G69" si="1">(F9/40)*25</f>
        <v>10.9375</v>
      </c>
      <c r="H9" s="29"/>
      <c r="I9" s="29"/>
      <c r="J9" s="29">
        <f t="shared" ref="J9:J69" si="2">G9+H9+I9</f>
        <v>10.9375</v>
      </c>
    </row>
    <row r="10" spans="1:10">
      <c r="A10" s="35">
        <v>3</v>
      </c>
      <c r="B10" s="36" t="s">
        <v>144</v>
      </c>
      <c r="C10" s="36" t="s">
        <v>145</v>
      </c>
      <c r="D10" s="29">
        <v>7</v>
      </c>
      <c r="E10" s="29">
        <v>14</v>
      </c>
      <c r="F10" s="29">
        <f t="shared" si="0"/>
        <v>10.5</v>
      </c>
      <c r="G10" s="29">
        <f t="shared" si="1"/>
        <v>6.5625</v>
      </c>
      <c r="H10" s="29"/>
      <c r="I10" s="29"/>
      <c r="J10" s="29">
        <f t="shared" si="2"/>
        <v>6.5625</v>
      </c>
    </row>
    <row r="11" spans="1:10">
      <c r="A11" s="35">
        <v>4</v>
      </c>
      <c r="B11" s="36" t="s">
        <v>146</v>
      </c>
      <c r="C11" s="36" t="s">
        <v>147</v>
      </c>
      <c r="D11" s="29">
        <v>27</v>
      </c>
      <c r="E11" s="29">
        <v>23</v>
      </c>
      <c r="F11" s="29">
        <f t="shared" si="0"/>
        <v>25</v>
      </c>
      <c r="G11" s="29">
        <f t="shared" si="1"/>
        <v>15.625</v>
      </c>
      <c r="H11" s="29"/>
      <c r="I11" s="29"/>
      <c r="J11" s="29">
        <f t="shared" si="2"/>
        <v>15.625</v>
      </c>
    </row>
    <row r="12" spans="1:10">
      <c r="A12" s="35">
        <v>5</v>
      </c>
      <c r="B12" s="36" t="s">
        <v>148</v>
      </c>
      <c r="C12" s="36" t="s">
        <v>149</v>
      </c>
      <c r="D12" s="29">
        <v>27</v>
      </c>
      <c r="E12" s="29">
        <v>32</v>
      </c>
      <c r="F12" s="29">
        <f t="shared" si="0"/>
        <v>29.5</v>
      </c>
      <c r="G12" s="29">
        <f t="shared" si="1"/>
        <v>18.4375</v>
      </c>
      <c r="H12" s="29"/>
      <c r="I12" s="29"/>
      <c r="J12" s="29">
        <f t="shared" si="2"/>
        <v>18.4375</v>
      </c>
    </row>
    <row r="13" spans="1:10">
      <c r="A13" s="35">
        <v>6</v>
      </c>
      <c r="B13" s="36" t="s">
        <v>150</v>
      </c>
      <c r="C13" s="36" t="s">
        <v>151</v>
      </c>
      <c r="D13" s="29">
        <v>32</v>
      </c>
      <c r="E13" s="29">
        <v>29</v>
      </c>
      <c r="F13" s="29">
        <f t="shared" si="0"/>
        <v>30.5</v>
      </c>
      <c r="G13" s="29">
        <f t="shared" si="1"/>
        <v>19.0625</v>
      </c>
      <c r="H13" s="29"/>
      <c r="I13" s="29"/>
      <c r="J13" s="29">
        <f t="shared" si="2"/>
        <v>19.0625</v>
      </c>
    </row>
    <row r="14" spans="1:10" ht="29">
      <c r="A14" s="35">
        <v>7</v>
      </c>
      <c r="B14" s="36" t="s">
        <v>152</v>
      </c>
      <c r="C14" s="36" t="s">
        <v>153</v>
      </c>
      <c r="D14" s="29">
        <v>30</v>
      </c>
      <c r="E14" s="29">
        <v>30</v>
      </c>
      <c r="F14" s="29">
        <f t="shared" si="0"/>
        <v>30</v>
      </c>
      <c r="G14" s="29">
        <f t="shared" si="1"/>
        <v>18.75</v>
      </c>
      <c r="H14" s="29"/>
      <c r="I14" s="29"/>
      <c r="J14" s="29">
        <f t="shared" si="2"/>
        <v>18.75</v>
      </c>
    </row>
    <row r="15" spans="1:10" ht="43.5">
      <c r="A15" s="35">
        <v>8</v>
      </c>
      <c r="B15" s="36" t="s">
        <v>154</v>
      </c>
      <c r="C15" s="36" t="s">
        <v>155</v>
      </c>
      <c r="D15" s="29">
        <v>26</v>
      </c>
      <c r="E15" s="29">
        <v>18</v>
      </c>
      <c r="F15" s="29">
        <f t="shared" si="0"/>
        <v>22</v>
      </c>
      <c r="G15" s="29">
        <f t="shared" si="1"/>
        <v>13.750000000000002</v>
      </c>
      <c r="H15" s="29"/>
      <c r="I15" s="29"/>
      <c r="J15" s="29">
        <f t="shared" si="2"/>
        <v>13.750000000000002</v>
      </c>
    </row>
    <row r="16" spans="1:10">
      <c r="A16" s="35">
        <v>9</v>
      </c>
      <c r="B16" s="36" t="s">
        <v>156</v>
      </c>
      <c r="C16" s="36" t="s">
        <v>157</v>
      </c>
      <c r="D16" s="29">
        <v>28</v>
      </c>
      <c r="E16" s="29">
        <v>13</v>
      </c>
      <c r="F16" s="29">
        <f t="shared" si="0"/>
        <v>20.5</v>
      </c>
      <c r="G16" s="29">
        <f t="shared" si="1"/>
        <v>12.812499999999998</v>
      </c>
      <c r="H16" s="29"/>
      <c r="I16" s="29"/>
      <c r="J16" s="29">
        <f t="shared" si="2"/>
        <v>12.812499999999998</v>
      </c>
    </row>
    <row r="17" spans="1:10">
      <c r="A17" s="35">
        <v>10</v>
      </c>
      <c r="B17" s="36" t="s">
        <v>158</v>
      </c>
      <c r="C17" s="36" t="s">
        <v>159</v>
      </c>
      <c r="D17" s="29">
        <v>40</v>
      </c>
      <c r="E17" s="29">
        <v>33</v>
      </c>
      <c r="F17" s="29">
        <f t="shared" si="0"/>
        <v>36.5</v>
      </c>
      <c r="G17" s="29">
        <f t="shared" si="1"/>
        <v>22.8125</v>
      </c>
      <c r="H17" s="29"/>
      <c r="I17" s="29"/>
      <c r="J17" s="29">
        <f t="shared" si="2"/>
        <v>22.8125</v>
      </c>
    </row>
    <row r="18" spans="1:10" ht="29">
      <c r="A18" s="35">
        <v>11</v>
      </c>
      <c r="B18" s="36" t="s">
        <v>160</v>
      </c>
      <c r="C18" s="36" t="s">
        <v>161</v>
      </c>
      <c r="D18" s="29">
        <v>33</v>
      </c>
      <c r="E18" s="29">
        <v>39</v>
      </c>
      <c r="F18" s="29">
        <f t="shared" si="0"/>
        <v>36</v>
      </c>
      <c r="G18" s="29">
        <f t="shared" si="1"/>
        <v>22.5</v>
      </c>
      <c r="H18" s="29"/>
      <c r="I18" s="29"/>
      <c r="J18" s="29">
        <f t="shared" si="2"/>
        <v>22.5</v>
      </c>
    </row>
    <row r="19" spans="1:10">
      <c r="A19" s="35">
        <v>12</v>
      </c>
      <c r="B19" s="36" t="s">
        <v>162</v>
      </c>
      <c r="C19" s="36" t="s">
        <v>163</v>
      </c>
      <c r="D19" s="29">
        <v>30</v>
      </c>
      <c r="E19" s="29">
        <v>16</v>
      </c>
      <c r="F19" s="29">
        <f t="shared" si="0"/>
        <v>23</v>
      </c>
      <c r="G19" s="29">
        <f t="shared" si="1"/>
        <v>14.374999999999998</v>
      </c>
      <c r="H19" s="29"/>
      <c r="I19" s="29"/>
      <c r="J19" s="29">
        <f t="shared" si="2"/>
        <v>14.374999999999998</v>
      </c>
    </row>
    <row r="20" spans="1:10">
      <c r="A20" s="35">
        <v>13</v>
      </c>
      <c r="B20" s="36" t="s">
        <v>164</v>
      </c>
      <c r="C20" s="36" t="s">
        <v>165</v>
      </c>
      <c r="D20" s="29">
        <v>38</v>
      </c>
      <c r="E20" s="29">
        <v>39</v>
      </c>
      <c r="F20" s="29">
        <f t="shared" si="0"/>
        <v>38.5</v>
      </c>
      <c r="G20" s="29">
        <f t="shared" si="1"/>
        <v>24.0625</v>
      </c>
      <c r="H20" s="29"/>
      <c r="I20" s="29"/>
      <c r="J20" s="29">
        <f t="shared" si="2"/>
        <v>24.0625</v>
      </c>
    </row>
    <row r="21" spans="1:10">
      <c r="A21" s="35">
        <v>14</v>
      </c>
      <c r="B21" s="36" t="s">
        <v>166</v>
      </c>
      <c r="C21" s="36" t="s">
        <v>167</v>
      </c>
      <c r="D21" s="29">
        <v>39</v>
      </c>
      <c r="E21" s="29">
        <v>40</v>
      </c>
      <c r="F21" s="29">
        <f t="shared" si="0"/>
        <v>39.5</v>
      </c>
      <c r="G21" s="29">
        <f t="shared" si="1"/>
        <v>24.6875</v>
      </c>
      <c r="H21" s="29"/>
      <c r="I21" s="29"/>
      <c r="J21" s="29">
        <f t="shared" si="2"/>
        <v>24.6875</v>
      </c>
    </row>
    <row r="22" spans="1:10" ht="29">
      <c r="A22" s="35">
        <v>15</v>
      </c>
      <c r="B22" s="36" t="s">
        <v>168</v>
      </c>
      <c r="C22" s="36" t="s">
        <v>169</v>
      </c>
      <c r="D22" s="29">
        <v>25</v>
      </c>
      <c r="E22" s="29">
        <v>4</v>
      </c>
      <c r="F22" s="29">
        <f t="shared" si="0"/>
        <v>14.5</v>
      </c>
      <c r="G22" s="29">
        <f t="shared" si="1"/>
        <v>9.0625</v>
      </c>
      <c r="H22" s="29"/>
      <c r="I22" s="29"/>
      <c r="J22" s="29">
        <f t="shared" si="2"/>
        <v>9.0625</v>
      </c>
    </row>
    <row r="23" spans="1:10">
      <c r="A23" s="35">
        <v>16</v>
      </c>
      <c r="B23" s="36" t="s">
        <v>170</v>
      </c>
      <c r="C23" s="36" t="s">
        <v>171</v>
      </c>
      <c r="D23" s="29">
        <v>23</v>
      </c>
      <c r="E23" s="29">
        <v>8</v>
      </c>
      <c r="F23" s="29">
        <f t="shared" si="0"/>
        <v>15.5</v>
      </c>
      <c r="G23" s="29">
        <f t="shared" si="1"/>
        <v>9.6875</v>
      </c>
      <c r="H23" s="29"/>
      <c r="I23" s="29"/>
      <c r="J23" s="29">
        <f t="shared" si="2"/>
        <v>9.6875</v>
      </c>
    </row>
    <row r="24" spans="1:10">
      <c r="A24" s="35">
        <v>17</v>
      </c>
      <c r="B24" s="36" t="s">
        <v>172</v>
      </c>
      <c r="C24" s="36" t="s">
        <v>173</v>
      </c>
      <c r="D24" s="29">
        <v>38</v>
      </c>
      <c r="E24" s="29">
        <v>34</v>
      </c>
      <c r="F24" s="29">
        <f t="shared" si="0"/>
        <v>36</v>
      </c>
      <c r="G24" s="29">
        <f t="shared" si="1"/>
        <v>22.5</v>
      </c>
      <c r="H24" s="29"/>
      <c r="I24" s="29"/>
      <c r="J24" s="29">
        <f t="shared" si="2"/>
        <v>22.5</v>
      </c>
    </row>
    <row r="25" spans="1:10">
      <c r="A25" s="35">
        <v>18</v>
      </c>
      <c r="B25" s="36" t="s">
        <v>174</v>
      </c>
      <c r="C25" s="36" t="s">
        <v>175</v>
      </c>
      <c r="D25" s="29">
        <v>37</v>
      </c>
      <c r="E25" s="29">
        <v>38</v>
      </c>
      <c r="F25" s="29">
        <f t="shared" si="0"/>
        <v>37.5</v>
      </c>
      <c r="G25" s="29">
        <f t="shared" si="1"/>
        <v>23.4375</v>
      </c>
      <c r="H25" s="29"/>
      <c r="I25" s="29"/>
      <c r="J25" s="29">
        <f t="shared" si="2"/>
        <v>23.4375</v>
      </c>
    </row>
    <row r="26" spans="1:10">
      <c r="A26" s="35">
        <v>19</v>
      </c>
      <c r="B26" s="36" t="s">
        <v>176</v>
      </c>
      <c r="C26" s="36" t="s">
        <v>177</v>
      </c>
      <c r="D26" s="29">
        <v>38</v>
      </c>
      <c r="E26" s="29">
        <v>39</v>
      </c>
      <c r="F26" s="29">
        <f t="shared" si="0"/>
        <v>38.5</v>
      </c>
      <c r="G26" s="29">
        <f t="shared" si="1"/>
        <v>24.0625</v>
      </c>
      <c r="H26" s="29"/>
      <c r="I26" s="29"/>
      <c r="J26" s="29">
        <f t="shared" si="2"/>
        <v>24.0625</v>
      </c>
    </row>
    <row r="27" spans="1:10">
      <c r="A27" s="35">
        <v>20</v>
      </c>
      <c r="B27" s="36" t="s">
        <v>178</v>
      </c>
      <c r="C27" s="36" t="s">
        <v>179</v>
      </c>
      <c r="D27" s="29">
        <v>25</v>
      </c>
      <c r="E27" s="29">
        <v>39</v>
      </c>
      <c r="F27" s="29">
        <f t="shared" si="0"/>
        <v>32</v>
      </c>
      <c r="G27" s="29">
        <f t="shared" si="1"/>
        <v>20</v>
      </c>
      <c r="H27" s="29"/>
      <c r="I27" s="29"/>
      <c r="J27" s="29">
        <f t="shared" si="2"/>
        <v>20</v>
      </c>
    </row>
    <row r="28" spans="1:10">
      <c r="A28" s="35">
        <v>21</v>
      </c>
      <c r="B28" s="36" t="s">
        <v>180</v>
      </c>
      <c r="C28" s="36" t="s">
        <v>181</v>
      </c>
      <c r="D28" s="29">
        <v>33</v>
      </c>
      <c r="E28" s="29">
        <v>40</v>
      </c>
      <c r="F28" s="29">
        <f t="shared" si="0"/>
        <v>36.5</v>
      </c>
      <c r="G28" s="29">
        <f t="shared" si="1"/>
        <v>22.8125</v>
      </c>
      <c r="H28" s="29"/>
      <c r="I28" s="29"/>
      <c r="J28" s="29">
        <f t="shared" si="2"/>
        <v>22.8125</v>
      </c>
    </row>
    <row r="29" spans="1:10">
      <c r="A29" s="35">
        <v>22</v>
      </c>
      <c r="B29" s="36" t="s">
        <v>182</v>
      </c>
      <c r="C29" s="36" t="s">
        <v>183</v>
      </c>
      <c r="D29" s="29">
        <v>34</v>
      </c>
      <c r="E29" s="29">
        <v>22</v>
      </c>
      <c r="F29" s="29">
        <f t="shared" si="0"/>
        <v>28</v>
      </c>
      <c r="G29" s="29">
        <f t="shared" si="1"/>
        <v>17.5</v>
      </c>
      <c r="H29" s="29"/>
      <c r="I29" s="29"/>
      <c r="J29" s="29">
        <f t="shared" si="2"/>
        <v>17.5</v>
      </c>
    </row>
    <row r="30" spans="1:10">
      <c r="A30" s="35">
        <v>23</v>
      </c>
      <c r="B30" s="36" t="s">
        <v>184</v>
      </c>
      <c r="C30" s="36" t="s">
        <v>185</v>
      </c>
      <c r="D30" s="29">
        <v>39</v>
      </c>
      <c r="E30" s="29">
        <v>40</v>
      </c>
      <c r="F30" s="29">
        <f t="shared" si="0"/>
        <v>39.5</v>
      </c>
      <c r="G30" s="29">
        <f t="shared" si="1"/>
        <v>24.6875</v>
      </c>
      <c r="H30" s="29"/>
      <c r="I30" s="29"/>
      <c r="J30" s="29">
        <f t="shared" si="2"/>
        <v>24.6875</v>
      </c>
    </row>
    <row r="31" spans="1:10">
      <c r="A31" s="35">
        <v>24</v>
      </c>
      <c r="B31" s="36" t="s">
        <v>186</v>
      </c>
      <c r="C31" s="36" t="s">
        <v>187</v>
      </c>
      <c r="D31" s="29">
        <v>31</v>
      </c>
      <c r="E31" s="29">
        <v>28</v>
      </c>
      <c r="F31" s="29">
        <f t="shared" si="0"/>
        <v>29.5</v>
      </c>
      <c r="G31" s="29">
        <f t="shared" si="1"/>
        <v>18.4375</v>
      </c>
      <c r="H31" s="29"/>
      <c r="I31" s="29"/>
      <c r="J31" s="29">
        <f t="shared" si="2"/>
        <v>18.4375</v>
      </c>
    </row>
    <row r="32" spans="1:10">
      <c r="A32" s="35">
        <v>25</v>
      </c>
      <c r="B32" s="36" t="s">
        <v>188</v>
      </c>
      <c r="C32" s="36" t="s">
        <v>189</v>
      </c>
      <c r="D32" s="29">
        <v>12</v>
      </c>
      <c r="E32" s="29">
        <v>7</v>
      </c>
      <c r="F32" s="29">
        <f t="shared" si="0"/>
        <v>9.5</v>
      </c>
      <c r="G32" s="29">
        <f t="shared" si="1"/>
        <v>5.9375</v>
      </c>
      <c r="H32" s="29"/>
      <c r="I32" s="29"/>
      <c r="J32" s="29">
        <f t="shared" si="2"/>
        <v>5.9375</v>
      </c>
    </row>
    <row r="33" spans="1:10" ht="43.5">
      <c r="A33" s="35">
        <v>26</v>
      </c>
      <c r="B33" s="37" t="s">
        <v>190</v>
      </c>
      <c r="C33" s="36" t="s">
        <v>191</v>
      </c>
      <c r="D33" s="29">
        <v>36</v>
      </c>
      <c r="E33" s="29">
        <v>38</v>
      </c>
      <c r="F33" s="29">
        <f t="shared" si="0"/>
        <v>37</v>
      </c>
      <c r="G33" s="29">
        <f t="shared" si="1"/>
        <v>23.125</v>
      </c>
      <c r="H33" s="29"/>
      <c r="I33" s="29"/>
      <c r="J33" s="29">
        <f t="shared" si="2"/>
        <v>23.125</v>
      </c>
    </row>
    <row r="34" spans="1:10" ht="29">
      <c r="A34" s="35">
        <v>27</v>
      </c>
      <c r="B34" s="36" t="s">
        <v>192</v>
      </c>
      <c r="C34" s="36" t="s">
        <v>193</v>
      </c>
      <c r="D34" s="29">
        <v>21</v>
      </c>
      <c r="E34" s="29">
        <v>0</v>
      </c>
      <c r="F34" s="29">
        <f t="shared" si="0"/>
        <v>10.5</v>
      </c>
      <c r="G34" s="29">
        <f t="shared" si="1"/>
        <v>6.5625</v>
      </c>
      <c r="H34" s="29"/>
      <c r="I34" s="29"/>
      <c r="J34" s="29">
        <f t="shared" si="2"/>
        <v>6.5625</v>
      </c>
    </row>
    <row r="35" spans="1:10">
      <c r="A35" s="35">
        <v>28</v>
      </c>
      <c r="B35" s="36" t="s">
        <v>194</v>
      </c>
      <c r="C35" s="36" t="s">
        <v>195</v>
      </c>
      <c r="D35" s="29">
        <v>39</v>
      </c>
      <c r="E35" s="29">
        <v>40</v>
      </c>
      <c r="F35" s="29">
        <f t="shared" si="0"/>
        <v>39.5</v>
      </c>
      <c r="G35" s="29">
        <f t="shared" si="1"/>
        <v>24.6875</v>
      </c>
      <c r="H35" s="29"/>
      <c r="I35" s="29"/>
      <c r="J35" s="29">
        <f t="shared" si="2"/>
        <v>24.6875</v>
      </c>
    </row>
    <row r="36" spans="1:10" ht="29">
      <c r="A36" s="35">
        <v>29</v>
      </c>
      <c r="B36" s="36" t="s">
        <v>196</v>
      </c>
      <c r="C36" s="36" t="s">
        <v>197</v>
      </c>
      <c r="D36" s="29">
        <v>12</v>
      </c>
      <c r="E36" s="29">
        <v>16</v>
      </c>
      <c r="F36" s="29">
        <f t="shared" si="0"/>
        <v>14</v>
      </c>
      <c r="G36" s="29">
        <f t="shared" si="1"/>
        <v>8.75</v>
      </c>
      <c r="H36" s="29"/>
      <c r="I36" s="29"/>
      <c r="J36" s="29">
        <f t="shared" si="2"/>
        <v>8.75</v>
      </c>
    </row>
    <row r="37" spans="1:10" ht="29">
      <c r="A37" s="35">
        <v>30</v>
      </c>
      <c r="B37" s="36" t="s">
        <v>198</v>
      </c>
      <c r="C37" s="36" t="s">
        <v>199</v>
      </c>
      <c r="D37" s="29">
        <v>8</v>
      </c>
      <c r="E37" s="29">
        <v>11</v>
      </c>
      <c r="F37" s="29">
        <f t="shared" si="0"/>
        <v>9.5</v>
      </c>
      <c r="G37" s="29">
        <f t="shared" si="1"/>
        <v>5.9375</v>
      </c>
      <c r="H37" s="29"/>
      <c r="I37" s="29"/>
      <c r="J37" s="29">
        <f t="shared" si="2"/>
        <v>5.9375</v>
      </c>
    </row>
    <row r="38" spans="1:10">
      <c r="A38" s="35">
        <v>31</v>
      </c>
      <c r="B38" s="36" t="s">
        <v>200</v>
      </c>
      <c r="C38" s="36" t="s">
        <v>201</v>
      </c>
      <c r="D38" s="29">
        <v>40</v>
      </c>
      <c r="E38" s="29">
        <v>40</v>
      </c>
      <c r="F38" s="29">
        <f t="shared" si="0"/>
        <v>40</v>
      </c>
      <c r="G38" s="29">
        <f t="shared" si="1"/>
        <v>25</v>
      </c>
      <c r="H38" s="29"/>
      <c r="I38" s="29"/>
      <c r="J38" s="29">
        <f t="shared" si="2"/>
        <v>25</v>
      </c>
    </row>
    <row r="39" spans="1:10">
      <c r="A39" s="38">
        <v>32</v>
      </c>
      <c r="B39" s="36" t="s">
        <v>202</v>
      </c>
      <c r="C39" s="36" t="s">
        <v>203</v>
      </c>
      <c r="D39" s="29">
        <v>30</v>
      </c>
      <c r="E39" s="29">
        <v>38</v>
      </c>
      <c r="F39" s="29">
        <f t="shared" si="0"/>
        <v>34</v>
      </c>
      <c r="G39" s="29">
        <f t="shared" si="1"/>
        <v>21.25</v>
      </c>
      <c r="H39" s="29"/>
      <c r="I39" s="29"/>
      <c r="J39" s="29">
        <f t="shared" si="2"/>
        <v>21.25</v>
      </c>
    </row>
    <row r="40" spans="1:10" ht="29">
      <c r="A40" s="38">
        <v>33</v>
      </c>
      <c r="B40" s="36" t="s">
        <v>204</v>
      </c>
      <c r="C40" s="36" t="s">
        <v>205</v>
      </c>
      <c r="D40" s="29">
        <v>30</v>
      </c>
      <c r="E40" s="29">
        <v>32</v>
      </c>
      <c r="F40" s="29">
        <f t="shared" si="0"/>
        <v>31</v>
      </c>
      <c r="G40" s="29">
        <f t="shared" si="1"/>
        <v>19.375</v>
      </c>
      <c r="H40" s="29"/>
      <c r="I40" s="29"/>
      <c r="J40" s="29">
        <f t="shared" si="2"/>
        <v>19.375</v>
      </c>
    </row>
    <row r="41" spans="1:10">
      <c r="A41" s="38">
        <v>34</v>
      </c>
      <c r="B41" s="36" t="s">
        <v>206</v>
      </c>
      <c r="C41" s="36" t="s">
        <v>207</v>
      </c>
      <c r="D41" s="29">
        <v>37</v>
      </c>
      <c r="E41" s="29">
        <v>40</v>
      </c>
      <c r="F41" s="29">
        <f t="shared" si="0"/>
        <v>38.5</v>
      </c>
      <c r="G41" s="29">
        <f t="shared" si="1"/>
        <v>24.0625</v>
      </c>
      <c r="H41" s="29"/>
      <c r="I41" s="29"/>
      <c r="J41" s="29">
        <f t="shared" si="2"/>
        <v>24.0625</v>
      </c>
    </row>
    <row r="42" spans="1:10">
      <c r="A42" s="38">
        <v>35</v>
      </c>
      <c r="B42" s="36" t="s">
        <v>208</v>
      </c>
      <c r="C42" s="36" t="s">
        <v>209</v>
      </c>
      <c r="D42" s="29">
        <v>40</v>
      </c>
      <c r="E42" s="29">
        <v>39</v>
      </c>
      <c r="F42" s="29">
        <f t="shared" si="0"/>
        <v>39.5</v>
      </c>
      <c r="G42" s="29">
        <f t="shared" si="1"/>
        <v>24.6875</v>
      </c>
      <c r="H42" s="29"/>
      <c r="I42" s="29"/>
      <c r="J42" s="29">
        <f t="shared" si="2"/>
        <v>24.6875</v>
      </c>
    </row>
    <row r="43" spans="1:10">
      <c r="A43" s="38">
        <v>36</v>
      </c>
      <c r="B43" s="36" t="s">
        <v>210</v>
      </c>
      <c r="C43" s="36" t="s">
        <v>211</v>
      </c>
      <c r="D43" s="29">
        <v>15</v>
      </c>
      <c r="E43" s="29">
        <v>14</v>
      </c>
      <c r="F43" s="29">
        <f t="shared" si="0"/>
        <v>14.5</v>
      </c>
      <c r="G43" s="29">
        <f t="shared" si="1"/>
        <v>9.0625</v>
      </c>
      <c r="H43" s="29"/>
      <c r="I43" s="29"/>
      <c r="J43" s="29">
        <f t="shared" si="2"/>
        <v>9.0625</v>
      </c>
    </row>
    <row r="44" spans="1:10" ht="29">
      <c r="A44" s="38">
        <v>37</v>
      </c>
      <c r="B44" s="36" t="s">
        <v>212</v>
      </c>
      <c r="C44" s="36" t="s">
        <v>213</v>
      </c>
      <c r="D44" s="29">
        <v>30</v>
      </c>
      <c r="E44" s="29">
        <v>27</v>
      </c>
      <c r="F44" s="29">
        <f t="shared" si="0"/>
        <v>28.5</v>
      </c>
      <c r="G44" s="29">
        <f t="shared" si="1"/>
        <v>17.8125</v>
      </c>
      <c r="H44" s="29"/>
      <c r="I44" s="29"/>
      <c r="J44" s="29">
        <f t="shared" si="2"/>
        <v>17.8125</v>
      </c>
    </row>
    <row r="45" spans="1:10">
      <c r="A45" s="38">
        <v>38</v>
      </c>
      <c r="B45" s="36" t="s">
        <v>214</v>
      </c>
      <c r="C45" s="36" t="s">
        <v>215</v>
      </c>
      <c r="D45" s="29">
        <v>7</v>
      </c>
      <c r="E45" s="29">
        <v>15</v>
      </c>
      <c r="F45" s="29">
        <f t="shared" si="0"/>
        <v>11</v>
      </c>
      <c r="G45" s="29">
        <f t="shared" si="1"/>
        <v>6.8750000000000009</v>
      </c>
      <c r="H45" s="29"/>
      <c r="I45" s="29"/>
      <c r="J45" s="29">
        <f t="shared" si="2"/>
        <v>6.8750000000000009</v>
      </c>
    </row>
    <row r="46" spans="1:10">
      <c r="A46" s="38">
        <v>39</v>
      </c>
      <c r="B46" s="36" t="s">
        <v>216</v>
      </c>
      <c r="C46" s="36" t="s">
        <v>217</v>
      </c>
      <c r="D46" s="29">
        <v>37</v>
      </c>
      <c r="E46" s="29">
        <v>38</v>
      </c>
      <c r="F46" s="29">
        <f t="shared" si="0"/>
        <v>37.5</v>
      </c>
      <c r="G46" s="29">
        <f t="shared" si="1"/>
        <v>23.4375</v>
      </c>
      <c r="H46" s="29"/>
      <c r="I46" s="29"/>
      <c r="J46" s="29">
        <f t="shared" si="2"/>
        <v>23.4375</v>
      </c>
    </row>
    <row r="47" spans="1:10">
      <c r="A47" s="38">
        <v>40</v>
      </c>
      <c r="B47" s="36" t="s">
        <v>218</v>
      </c>
      <c r="C47" s="36" t="s">
        <v>219</v>
      </c>
      <c r="D47" s="29">
        <v>39</v>
      </c>
      <c r="E47" s="29">
        <v>38</v>
      </c>
      <c r="F47" s="29">
        <f t="shared" si="0"/>
        <v>38.5</v>
      </c>
      <c r="G47" s="29">
        <f t="shared" si="1"/>
        <v>24.0625</v>
      </c>
      <c r="H47" s="29"/>
      <c r="I47" s="29"/>
      <c r="J47" s="29">
        <f t="shared" si="2"/>
        <v>24.0625</v>
      </c>
    </row>
    <row r="48" spans="1:10" ht="29">
      <c r="A48" s="38">
        <v>41</v>
      </c>
      <c r="B48" s="36" t="s">
        <v>220</v>
      </c>
      <c r="C48" s="36" t="s">
        <v>221</v>
      </c>
      <c r="D48" s="29">
        <v>35</v>
      </c>
      <c r="E48" s="29">
        <v>27</v>
      </c>
      <c r="F48" s="29">
        <f t="shared" si="0"/>
        <v>31</v>
      </c>
      <c r="G48" s="29">
        <f t="shared" si="1"/>
        <v>19.375</v>
      </c>
      <c r="H48" s="29"/>
      <c r="I48" s="29"/>
      <c r="J48" s="29">
        <f t="shared" si="2"/>
        <v>19.375</v>
      </c>
    </row>
    <row r="49" spans="1:10">
      <c r="A49" s="38">
        <v>42</v>
      </c>
      <c r="B49" s="36" t="s">
        <v>222</v>
      </c>
      <c r="C49" s="36" t="s">
        <v>223</v>
      </c>
      <c r="D49" s="29">
        <v>35</v>
      </c>
      <c r="E49" s="29">
        <v>40</v>
      </c>
      <c r="F49" s="29">
        <f t="shared" si="0"/>
        <v>37.5</v>
      </c>
      <c r="G49" s="29">
        <f t="shared" si="1"/>
        <v>23.4375</v>
      </c>
      <c r="H49" s="29"/>
      <c r="I49" s="29"/>
      <c r="J49" s="29">
        <f t="shared" si="2"/>
        <v>23.4375</v>
      </c>
    </row>
    <row r="50" spans="1:10" ht="43.5">
      <c r="A50" s="38">
        <v>43</v>
      </c>
      <c r="B50" s="36" t="s">
        <v>224</v>
      </c>
      <c r="C50" s="36" t="s">
        <v>225</v>
      </c>
      <c r="D50" s="29">
        <v>18</v>
      </c>
      <c r="E50" s="29">
        <v>16</v>
      </c>
      <c r="F50" s="29">
        <f t="shared" si="0"/>
        <v>17</v>
      </c>
      <c r="G50" s="29">
        <f t="shared" si="1"/>
        <v>10.625</v>
      </c>
      <c r="H50" s="29"/>
      <c r="I50" s="29"/>
      <c r="J50" s="29">
        <f t="shared" si="2"/>
        <v>10.625</v>
      </c>
    </row>
    <row r="51" spans="1:10">
      <c r="A51" s="38">
        <v>44</v>
      </c>
      <c r="B51" s="36" t="s">
        <v>226</v>
      </c>
      <c r="C51" s="36" t="s">
        <v>227</v>
      </c>
      <c r="D51" s="29">
        <v>36</v>
      </c>
      <c r="E51" s="29">
        <v>28</v>
      </c>
      <c r="F51" s="29">
        <f t="shared" si="0"/>
        <v>32</v>
      </c>
      <c r="G51" s="29">
        <f t="shared" si="1"/>
        <v>20</v>
      </c>
      <c r="H51" s="29"/>
      <c r="I51" s="29"/>
      <c r="J51" s="29">
        <f t="shared" si="2"/>
        <v>20</v>
      </c>
    </row>
    <row r="52" spans="1:10">
      <c r="A52" s="38">
        <v>45</v>
      </c>
      <c r="B52" s="36" t="s">
        <v>228</v>
      </c>
      <c r="C52" s="36" t="s">
        <v>229</v>
      </c>
      <c r="D52" s="29">
        <v>17</v>
      </c>
      <c r="E52" s="29">
        <v>24</v>
      </c>
      <c r="F52" s="29">
        <f t="shared" si="0"/>
        <v>20.5</v>
      </c>
      <c r="G52" s="29">
        <f t="shared" si="1"/>
        <v>12.812499999999998</v>
      </c>
      <c r="H52" s="29"/>
      <c r="I52" s="29"/>
      <c r="J52" s="29">
        <f t="shared" si="2"/>
        <v>12.812499999999998</v>
      </c>
    </row>
    <row r="53" spans="1:10" ht="29">
      <c r="A53" s="38">
        <v>46</v>
      </c>
      <c r="B53" s="36" t="s">
        <v>230</v>
      </c>
      <c r="C53" s="36" t="s">
        <v>231</v>
      </c>
      <c r="D53" s="29">
        <v>30</v>
      </c>
      <c r="E53" s="29">
        <v>23</v>
      </c>
      <c r="F53" s="29">
        <f t="shared" si="0"/>
        <v>26.5</v>
      </c>
      <c r="G53" s="29">
        <f t="shared" si="1"/>
        <v>16.5625</v>
      </c>
      <c r="H53" s="29"/>
      <c r="I53" s="29"/>
      <c r="J53" s="29">
        <f t="shared" si="2"/>
        <v>16.5625</v>
      </c>
    </row>
    <row r="54" spans="1:10" ht="29">
      <c r="A54" s="38">
        <v>49</v>
      </c>
      <c r="B54" s="36" t="s">
        <v>232</v>
      </c>
      <c r="C54" s="36" t="s">
        <v>233</v>
      </c>
      <c r="D54" s="29">
        <v>36</v>
      </c>
      <c r="E54" s="29">
        <v>27</v>
      </c>
      <c r="F54" s="29">
        <f t="shared" si="0"/>
        <v>31.5</v>
      </c>
      <c r="G54" s="29">
        <f t="shared" si="1"/>
        <v>19.6875</v>
      </c>
      <c r="H54" s="29"/>
      <c r="I54" s="29"/>
      <c r="J54" s="29">
        <f t="shared" si="2"/>
        <v>19.6875</v>
      </c>
    </row>
    <row r="55" spans="1:10">
      <c r="A55" s="38">
        <v>50</v>
      </c>
      <c r="B55" s="36" t="s">
        <v>234</v>
      </c>
      <c r="C55" s="36" t="s">
        <v>235</v>
      </c>
      <c r="D55" s="29">
        <v>37</v>
      </c>
      <c r="E55" s="29">
        <v>38</v>
      </c>
      <c r="F55" s="29">
        <f t="shared" si="0"/>
        <v>37.5</v>
      </c>
      <c r="G55" s="29">
        <f t="shared" si="1"/>
        <v>23.4375</v>
      </c>
      <c r="H55" s="29"/>
      <c r="I55" s="29"/>
      <c r="J55" s="29">
        <f t="shared" si="2"/>
        <v>23.4375</v>
      </c>
    </row>
    <row r="56" spans="1:10" ht="29">
      <c r="A56" s="38">
        <v>51</v>
      </c>
      <c r="B56" s="36" t="s">
        <v>236</v>
      </c>
      <c r="C56" s="36" t="s">
        <v>237</v>
      </c>
      <c r="D56" s="29">
        <v>31</v>
      </c>
      <c r="E56" s="29">
        <v>39</v>
      </c>
      <c r="F56" s="29">
        <f t="shared" si="0"/>
        <v>35</v>
      </c>
      <c r="G56" s="29">
        <f t="shared" si="1"/>
        <v>21.875</v>
      </c>
      <c r="H56" s="29"/>
      <c r="I56" s="29"/>
      <c r="J56" s="29">
        <f t="shared" si="2"/>
        <v>21.875</v>
      </c>
    </row>
    <row r="57" spans="1:10" ht="29">
      <c r="A57" s="38">
        <v>52</v>
      </c>
      <c r="B57" s="36" t="s">
        <v>238</v>
      </c>
      <c r="C57" s="36" t="s">
        <v>239</v>
      </c>
      <c r="D57" s="29">
        <v>1</v>
      </c>
      <c r="E57" s="29">
        <v>30</v>
      </c>
      <c r="F57" s="29">
        <f t="shared" si="0"/>
        <v>15.5</v>
      </c>
      <c r="G57" s="29">
        <f t="shared" si="1"/>
        <v>9.6875</v>
      </c>
      <c r="H57" s="29"/>
      <c r="I57" s="29"/>
      <c r="J57" s="29">
        <f t="shared" si="2"/>
        <v>9.6875</v>
      </c>
    </row>
    <row r="58" spans="1:10" ht="29">
      <c r="A58" s="38">
        <v>53</v>
      </c>
      <c r="B58" s="36" t="s">
        <v>240</v>
      </c>
      <c r="C58" s="36" t="s">
        <v>241</v>
      </c>
      <c r="D58" s="29">
        <v>30</v>
      </c>
      <c r="E58" s="29">
        <v>26</v>
      </c>
      <c r="F58" s="29">
        <f t="shared" si="0"/>
        <v>28</v>
      </c>
      <c r="G58" s="29">
        <f t="shared" si="1"/>
        <v>17.5</v>
      </c>
      <c r="H58" s="29"/>
      <c r="I58" s="29"/>
      <c r="J58" s="29">
        <f t="shared" si="2"/>
        <v>17.5</v>
      </c>
    </row>
    <row r="59" spans="1:10" ht="29">
      <c r="A59" s="38">
        <v>54</v>
      </c>
      <c r="B59" s="36" t="s">
        <v>242</v>
      </c>
      <c r="C59" s="36" t="s">
        <v>243</v>
      </c>
      <c r="D59" s="29">
        <v>23</v>
      </c>
      <c r="E59" s="29">
        <v>14</v>
      </c>
      <c r="F59" s="29">
        <f t="shared" si="0"/>
        <v>18.5</v>
      </c>
      <c r="G59" s="29">
        <f t="shared" si="1"/>
        <v>11.5625</v>
      </c>
      <c r="H59" s="29"/>
      <c r="I59" s="29"/>
      <c r="J59" s="29">
        <f t="shared" si="2"/>
        <v>11.5625</v>
      </c>
    </row>
    <row r="60" spans="1:10">
      <c r="A60" s="38">
        <v>55</v>
      </c>
      <c r="B60" s="36" t="s">
        <v>244</v>
      </c>
      <c r="C60" s="36" t="s">
        <v>245</v>
      </c>
      <c r="D60" s="29">
        <v>8</v>
      </c>
      <c r="E60" s="29">
        <v>11</v>
      </c>
      <c r="F60" s="29">
        <f t="shared" si="0"/>
        <v>9.5</v>
      </c>
      <c r="G60" s="29">
        <f t="shared" si="1"/>
        <v>5.9375</v>
      </c>
      <c r="H60" s="29"/>
      <c r="I60" s="29"/>
      <c r="J60" s="29">
        <f t="shared" si="2"/>
        <v>5.9375</v>
      </c>
    </row>
    <row r="61" spans="1:10" ht="29">
      <c r="A61" s="38">
        <v>56</v>
      </c>
      <c r="B61" s="45" t="s">
        <v>134</v>
      </c>
      <c r="C61" s="45" t="s">
        <v>246</v>
      </c>
      <c r="D61" s="29">
        <v>15</v>
      </c>
      <c r="E61" s="29">
        <v>17</v>
      </c>
      <c r="F61" s="29">
        <f t="shared" si="0"/>
        <v>16</v>
      </c>
      <c r="G61" s="29">
        <f t="shared" si="1"/>
        <v>10</v>
      </c>
      <c r="H61" s="29"/>
      <c r="I61" s="29"/>
      <c r="J61" s="29">
        <f t="shared" si="2"/>
        <v>10</v>
      </c>
    </row>
    <row r="62" spans="1:10" ht="29">
      <c r="A62" s="38">
        <v>57</v>
      </c>
      <c r="B62" s="45" t="s">
        <v>134</v>
      </c>
      <c r="C62" s="45" t="s">
        <v>247</v>
      </c>
      <c r="D62" s="29">
        <v>17</v>
      </c>
      <c r="E62" s="29">
        <v>21</v>
      </c>
      <c r="F62" s="29">
        <f t="shared" si="0"/>
        <v>19</v>
      </c>
      <c r="G62" s="29">
        <f t="shared" si="1"/>
        <v>11.875</v>
      </c>
      <c r="H62" s="29"/>
      <c r="I62" s="29"/>
      <c r="J62" s="29">
        <f t="shared" si="2"/>
        <v>11.875</v>
      </c>
    </row>
    <row r="63" spans="1:10" ht="29">
      <c r="A63" s="38">
        <v>58</v>
      </c>
      <c r="B63" s="45" t="s">
        <v>134</v>
      </c>
      <c r="C63" s="46" t="s">
        <v>248</v>
      </c>
      <c r="D63" s="29">
        <v>12</v>
      </c>
      <c r="E63" s="29">
        <v>7</v>
      </c>
      <c r="F63" s="29">
        <f t="shared" si="0"/>
        <v>9.5</v>
      </c>
      <c r="G63" s="29">
        <f t="shared" si="1"/>
        <v>5.9375</v>
      </c>
      <c r="H63" s="29"/>
      <c r="I63" s="29"/>
      <c r="J63" s="29">
        <f t="shared" si="2"/>
        <v>5.9375</v>
      </c>
    </row>
    <row r="64" spans="1:10" ht="29">
      <c r="A64" s="38">
        <v>59</v>
      </c>
      <c r="B64" s="45" t="s">
        <v>134</v>
      </c>
      <c r="C64" s="45" t="s">
        <v>249</v>
      </c>
      <c r="D64" s="29">
        <v>27</v>
      </c>
      <c r="E64" s="29">
        <v>24</v>
      </c>
      <c r="F64" s="29">
        <f t="shared" si="0"/>
        <v>25.5</v>
      </c>
      <c r="G64" s="29">
        <f t="shared" si="1"/>
        <v>15.937499999999998</v>
      </c>
      <c r="H64" s="29"/>
      <c r="I64" s="29"/>
      <c r="J64" s="29">
        <f t="shared" si="2"/>
        <v>15.937499999999998</v>
      </c>
    </row>
    <row r="65" spans="1:10" ht="29">
      <c r="A65" s="38">
        <v>60</v>
      </c>
      <c r="B65" s="45" t="s">
        <v>134</v>
      </c>
      <c r="C65" s="45" t="s">
        <v>250</v>
      </c>
      <c r="D65" s="29">
        <v>18</v>
      </c>
      <c r="E65" s="29">
        <v>22</v>
      </c>
      <c r="F65" s="29">
        <f t="shared" si="0"/>
        <v>20</v>
      </c>
      <c r="G65" s="29">
        <f t="shared" si="1"/>
        <v>12.5</v>
      </c>
      <c r="H65" s="29"/>
      <c r="I65" s="29"/>
      <c r="J65" s="29">
        <f t="shared" si="2"/>
        <v>12.5</v>
      </c>
    </row>
    <row r="66" spans="1:10" ht="29">
      <c r="A66" s="38">
        <v>61</v>
      </c>
      <c r="B66" s="45" t="s">
        <v>134</v>
      </c>
      <c r="C66" s="45" t="s">
        <v>251</v>
      </c>
      <c r="D66" s="29">
        <v>14</v>
      </c>
      <c r="E66" s="29">
        <v>26</v>
      </c>
      <c r="F66" s="29">
        <f t="shared" si="0"/>
        <v>20</v>
      </c>
      <c r="G66" s="29">
        <f t="shared" si="1"/>
        <v>12.5</v>
      </c>
      <c r="H66" s="29"/>
      <c r="I66" s="29"/>
      <c r="J66" s="29">
        <f t="shared" si="2"/>
        <v>12.5</v>
      </c>
    </row>
    <row r="67" spans="1:10" ht="29">
      <c r="A67" s="38">
        <v>62</v>
      </c>
      <c r="B67" s="45" t="s">
        <v>134</v>
      </c>
      <c r="C67" s="45" t="s">
        <v>252</v>
      </c>
      <c r="D67" s="29">
        <v>25</v>
      </c>
      <c r="E67" s="29">
        <v>29</v>
      </c>
      <c r="F67" s="29">
        <f t="shared" si="0"/>
        <v>27</v>
      </c>
      <c r="G67" s="29">
        <f t="shared" si="1"/>
        <v>16.875</v>
      </c>
      <c r="H67" s="29"/>
      <c r="I67" s="29"/>
      <c r="J67" s="29">
        <f t="shared" si="2"/>
        <v>16.875</v>
      </c>
    </row>
    <row r="68" spans="1:10" ht="29">
      <c r="A68" s="38">
        <v>63</v>
      </c>
      <c r="B68" s="45" t="s">
        <v>253</v>
      </c>
      <c r="C68" s="45" t="s">
        <v>254</v>
      </c>
      <c r="D68" s="29">
        <v>36</v>
      </c>
      <c r="E68" s="29">
        <v>22</v>
      </c>
      <c r="F68" s="29">
        <f t="shared" si="0"/>
        <v>29</v>
      </c>
      <c r="G68" s="29">
        <f t="shared" si="1"/>
        <v>18.125</v>
      </c>
      <c r="H68" s="29"/>
      <c r="I68" s="29"/>
      <c r="J68" s="29">
        <f t="shared" si="2"/>
        <v>18.125</v>
      </c>
    </row>
    <row r="69" spans="1:10">
      <c r="A69" s="38">
        <v>64</v>
      </c>
      <c r="B69" s="47" t="s">
        <v>255</v>
      </c>
      <c r="C69" s="45" t="s">
        <v>256</v>
      </c>
      <c r="D69" s="29">
        <v>16</v>
      </c>
      <c r="E69" s="29">
        <v>8</v>
      </c>
      <c r="F69" s="29">
        <f t="shared" si="0"/>
        <v>12</v>
      </c>
      <c r="G69" s="29">
        <f t="shared" si="1"/>
        <v>7.5</v>
      </c>
      <c r="H69" s="29"/>
      <c r="I69" s="29"/>
      <c r="J69" s="29">
        <f t="shared" si="2"/>
        <v>7.5</v>
      </c>
    </row>
  </sheetData>
  <mergeCells count="10"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40F5-D829-4A1E-B83B-E43B058B8DB9}">
  <dimension ref="A5:F69"/>
  <sheetViews>
    <sheetView workbookViewId="0">
      <selection activeCell="F10" sqref="F10"/>
    </sheetView>
  </sheetViews>
  <sheetFormatPr defaultRowHeight="14.5"/>
  <cols>
    <col min="2" max="2" width="11.81640625" customWidth="1"/>
    <col min="3" max="3" width="27.26953125" customWidth="1"/>
  </cols>
  <sheetData>
    <row r="5" spans="1:6" ht="15" thickBot="1"/>
    <row r="6" spans="1:6" ht="15" thickBot="1">
      <c r="A6" s="32" t="s">
        <v>5</v>
      </c>
      <c r="B6" s="32" t="s">
        <v>6</v>
      </c>
      <c r="C6" s="32" t="s">
        <v>7</v>
      </c>
      <c r="D6" s="32" t="s">
        <v>264</v>
      </c>
      <c r="E6" s="32" t="s">
        <v>265</v>
      </c>
      <c r="F6" s="32" t="s">
        <v>10</v>
      </c>
    </row>
    <row r="7" spans="1:6">
      <c r="A7" s="31"/>
      <c r="B7" s="31"/>
      <c r="C7" s="31"/>
      <c r="D7" s="31"/>
      <c r="E7" s="31"/>
      <c r="F7" s="31"/>
    </row>
    <row r="8" spans="1:6">
      <c r="A8" s="29">
        <v>1</v>
      </c>
      <c r="B8" s="29" t="s">
        <v>140</v>
      </c>
      <c r="C8" s="29" t="s">
        <v>141</v>
      </c>
      <c r="D8" s="29" cm="1">
        <f t="array" ref="D8:D69">'3rdB_internal'!J8:J69</f>
        <v>24.0625</v>
      </c>
      <c r="E8" s="29"/>
      <c r="F8" s="29">
        <f>D8+E8</f>
        <v>24.0625</v>
      </c>
    </row>
    <row r="9" spans="1:6">
      <c r="A9" s="29">
        <v>2</v>
      </c>
      <c r="B9" s="29" t="s">
        <v>142</v>
      </c>
      <c r="C9" s="29" t="s">
        <v>143</v>
      </c>
      <c r="D9" s="29">
        <v>10.9375</v>
      </c>
      <c r="E9" s="29"/>
      <c r="F9" s="29">
        <f t="shared" ref="F9:F69" si="0">D9+E9</f>
        <v>10.9375</v>
      </c>
    </row>
    <row r="10" spans="1:6">
      <c r="A10" s="29">
        <v>3</v>
      </c>
      <c r="B10" s="29" t="s">
        <v>144</v>
      </c>
      <c r="C10" s="29" t="s">
        <v>145</v>
      </c>
      <c r="D10" s="29">
        <v>6.5625</v>
      </c>
      <c r="E10" s="29"/>
      <c r="F10" s="29">
        <f t="shared" si="0"/>
        <v>6.5625</v>
      </c>
    </row>
    <row r="11" spans="1:6">
      <c r="A11" s="29">
        <v>4</v>
      </c>
      <c r="B11" s="29" t="s">
        <v>146</v>
      </c>
      <c r="C11" s="29" t="s">
        <v>147</v>
      </c>
      <c r="D11" s="29">
        <v>15.625</v>
      </c>
      <c r="E11" s="29"/>
      <c r="F11" s="29">
        <f t="shared" si="0"/>
        <v>15.625</v>
      </c>
    </row>
    <row r="12" spans="1:6">
      <c r="A12" s="29">
        <v>5</v>
      </c>
      <c r="B12" s="29" t="s">
        <v>148</v>
      </c>
      <c r="C12" s="29" t="s">
        <v>149</v>
      </c>
      <c r="D12" s="29">
        <v>18.4375</v>
      </c>
      <c r="E12" s="29"/>
      <c r="F12" s="29">
        <f t="shared" si="0"/>
        <v>18.4375</v>
      </c>
    </row>
    <row r="13" spans="1:6">
      <c r="A13" s="29">
        <v>6</v>
      </c>
      <c r="B13" s="29" t="s">
        <v>150</v>
      </c>
      <c r="C13" s="29" t="s">
        <v>151</v>
      </c>
      <c r="D13" s="29">
        <v>19.0625</v>
      </c>
      <c r="E13" s="29"/>
      <c r="F13" s="29">
        <f t="shared" si="0"/>
        <v>19.0625</v>
      </c>
    </row>
    <row r="14" spans="1:6">
      <c r="A14" s="29">
        <v>7</v>
      </c>
      <c r="B14" s="29" t="s">
        <v>152</v>
      </c>
      <c r="C14" s="29" t="s">
        <v>153</v>
      </c>
      <c r="D14" s="29">
        <v>18.75</v>
      </c>
      <c r="E14" s="29"/>
      <c r="F14" s="29">
        <f t="shared" si="0"/>
        <v>18.75</v>
      </c>
    </row>
    <row r="15" spans="1:6">
      <c r="A15" s="29">
        <v>8</v>
      </c>
      <c r="B15" s="29" t="s">
        <v>154</v>
      </c>
      <c r="C15" s="29" t="s">
        <v>155</v>
      </c>
      <c r="D15" s="29">
        <v>13.750000000000002</v>
      </c>
      <c r="E15" s="29"/>
      <c r="F15" s="29">
        <f t="shared" si="0"/>
        <v>13.750000000000002</v>
      </c>
    </row>
    <row r="16" spans="1:6">
      <c r="A16" s="29">
        <v>9</v>
      </c>
      <c r="B16" s="29" t="s">
        <v>156</v>
      </c>
      <c r="C16" s="29" t="s">
        <v>157</v>
      </c>
      <c r="D16" s="29">
        <v>12.812499999999998</v>
      </c>
      <c r="E16" s="29"/>
      <c r="F16" s="29">
        <f t="shared" si="0"/>
        <v>12.812499999999998</v>
      </c>
    </row>
    <row r="17" spans="1:6">
      <c r="A17" s="29">
        <v>10</v>
      </c>
      <c r="B17" s="29" t="s">
        <v>158</v>
      </c>
      <c r="C17" s="29" t="s">
        <v>159</v>
      </c>
      <c r="D17" s="29">
        <v>22.8125</v>
      </c>
      <c r="E17" s="29"/>
      <c r="F17" s="29">
        <f t="shared" si="0"/>
        <v>22.8125</v>
      </c>
    </row>
    <row r="18" spans="1:6">
      <c r="A18" s="29">
        <v>11</v>
      </c>
      <c r="B18" s="29" t="s">
        <v>160</v>
      </c>
      <c r="C18" s="29" t="s">
        <v>161</v>
      </c>
      <c r="D18" s="29">
        <v>22.5</v>
      </c>
      <c r="E18" s="29"/>
      <c r="F18" s="29">
        <f t="shared" si="0"/>
        <v>22.5</v>
      </c>
    </row>
    <row r="19" spans="1:6">
      <c r="A19" s="29">
        <v>12</v>
      </c>
      <c r="B19" s="29" t="s">
        <v>162</v>
      </c>
      <c r="C19" s="29" t="s">
        <v>163</v>
      </c>
      <c r="D19" s="29">
        <v>14.374999999999998</v>
      </c>
      <c r="E19" s="29"/>
      <c r="F19" s="29">
        <f t="shared" si="0"/>
        <v>14.374999999999998</v>
      </c>
    </row>
    <row r="20" spans="1:6">
      <c r="A20" s="29">
        <v>13</v>
      </c>
      <c r="B20" s="29" t="s">
        <v>164</v>
      </c>
      <c r="C20" s="29" t="s">
        <v>165</v>
      </c>
      <c r="D20" s="29">
        <v>24.0625</v>
      </c>
      <c r="E20" s="29"/>
      <c r="F20" s="29">
        <f t="shared" si="0"/>
        <v>24.0625</v>
      </c>
    </row>
    <row r="21" spans="1:6">
      <c r="A21" s="29">
        <v>14</v>
      </c>
      <c r="B21" s="29" t="s">
        <v>166</v>
      </c>
      <c r="C21" s="29" t="s">
        <v>167</v>
      </c>
      <c r="D21" s="29">
        <v>24.6875</v>
      </c>
      <c r="E21" s="29"/>
      <c r="F21" s="29">
        <f t="shared" si="0"/>
        <v>24.6875</v>
      </c>
    </row>
    <row r="22" spans="1:6">
      <c r="A22" s="29">
        <v>15</v>
      </c>
      <c r="B22" s="29" t="s">
        <v>168</v>
      </c>
      <c r="C22" s="29" t="s">
        <v>169</v>
      </c>
      <c r="D22" s="29">
        <v>9.0625</v>
      </c>
      <c r="E22" s="29"/>
      <c r="F22" s="29">
        <f t="shared" si="0"/>
        <v>9.0625</v>
      </c>
    </row>
    <row r="23" spans="1:6">
      <c r="A23" s="29">
        <v>16</v>
      </c>
      <c r="B23" s="29" t="s">
        <v>170</v>
      </c>
      <c r="C23" s="29" t="s">
        <v>171</v>
      </c>
      <c r="D23" s="29">
        <v>9.6875</v>
      </c>
      <c r="E23" s="29"/>
      <c r="F23" s="29">
        <f t="shared" si="0"/>
        <v>9.6875</v>
      </c>
    </row>
    <row r="24" spans="1:6">
      <c r="A24" s="29">
        <v>17</v>
      </c>
      <c r="B24" s="29" t="s">
        <v>172</v>
      </c>
      <c r="C24" s="29" t="s">
        <v>173</v>
      </c>
      <c r="D24" s="29">
        <v>22.5</v>
      </c>
      <c r="E24" s="29"/>
      <c r="F24" s="29">
        <f t="shared" si="0"/>
        <v>22.5</v>
      </c>
    </row>
    <row r="25" spans="1:6">
      <c r="A25" s="29">
        <v>18</v>
      </c>
      <c r="B25" s="29" t="s">
        <v>174</v>
      </c>
      <c r="C25" s="29" t="s">
        <v>175</v>
      </c>
      <c r="D25" s="29">
        <v>23.4375</v>
      </c>
      <c r="E25" s="29"/>
      <c r="F25" s="29">
        <f t="shared" si="0"/>
        <v>23.4375</v>
      </c>
    </row>
    <row r="26" spans="1:6">
      <c r="A26" s="29">
        <v>19</v>
      </c>
      <c r="B26" s="29" t="s">
        <v>176</v>
      </c>
      <c r="C26" s="29" t="s">
        <v>177</v>
      </c>
      <c r="D26" s="29">
        <v>24.0625</v>
      </c>
      <c r="E26" s="29"/>
      <c r="F26" s="29">
        <f t="shared" si="0"/>
        <v>24.0625</v>
      </c>
    </row>
    <row r="27" spans="1:6">
      <c r="A27" s="29">
        <v>20</v>
      </c>
      <c r="B27" s="29" t="s">
        <v>178</v>
      </c>
      <c r="C27" s="29" t="s">
        <v>179</v>
      </c>
      <c r="D27" s="29">
        <v>20</v>
      </c>
      <c r="E27" s="29"/>
      <c r="F27" s="29">
        <f t="shared" si="0"/>
        <v>20</v>
      </c>
    </row>
    <row r="28" spans="1:6">
      <c r="A28" s="29">
        <v>21</v>
      </c>
      <c r="B28" s="29" t="s">
        <v>180</v>
      </c>
      <c r="C28" s="29" t="s">
        <v>181</v>
      </c>
      <c r="D28" s="29">
        <v>22.8125</v>
      </c>
      <c r="E28" s="29"/>
      <c r="F28" s="29">
        <f t="shared" si="0"/>
        <v>22.8125</v>
      </c>
    </row>
    <row r="29" spans="1:6">
      <c r="A29" s="29">
        <v>22</v>
      </c>
      <c r="B29" s="29" t="s">
        <v>182</v>
      </c>
      <c r="C29" s="29" t="s">
        <v>183</v>
      </c>
      <c r="D29" s="29">
        <v>17.5</v>
      </c>
      <c r="E29" s="29"/>
      <c r="F29" s="29">
        <f t="shared" si="0"/>
        <v>17.5</v>
      </c>
    </row>
    <row r="30" spans="1:6">
      <c r="A30" s="29">
        <v>23</v>
      </c>
      <c r="B30" s="29" t="s">
        <v>184</v>
      </c>
      <c r="C30" s="29" t="s">
        <v>185</v>
      </c>
      <c r="D30" s="29">
        <v>24.6875</v>
      </c>
      <c r="E30" s="29"/>
      <c r="F30" s="29">
        <f t="shared" si="0"/>
        <v>24.6875</v>
      </c>
    </row>
    <row r="31" spans="1:6">
      <c r="A31" s="29">
        <v>24</v>
      </c>
      <c r="B31" s="29" t="s">
        <v>186</v>
      </c>
      <c r="C31" s="29" t="s">
        <v>187</v>
      </c>
      <c r="D31" s="29">
        <v>18.4375</v>
      </c>
      <c r="E31" s="29"/>
      <c r="F31" s="29">
        <f t="shared" si="0"/>
        <v>18.4375</v>
      </c>
    </row>
    <row r="32" spans="1:6">
      <c r="A32" s="29">
        <v>25</v>
      </c>
      <c r="B32" s="29" t="s">
        <v>188</v>
      </c>
      <c r="C32" s="29" t="s">
        <v>189</v>
      </c>
      <c r="D32" s="29">
        <v>5.9375</v>
      </c>
      <c r="E32" s="29"/>
      <c r="F32" s="29">
        <f t="shared" si="0"/>
        <v>5.9375</v>
      </c>
    </row>
    <row r="33" spans="1:6">
      <c r="A33" s="29">
        <v>26</v>
      </c>
      <c r="B33" s="29" t="s">
        <v>190</v>
      </c>
      <c r="C33" s="29" t="s">
        <v>191</v>
      </c>
      <c r="D33" s="29">
        <v>23.125</v>
      </c>
      <c r="E33" s="29"/>
      <c r="F33" s="29">
        <f t="shared" si="0"/>
        <v>23.125</v>
      </c>
    </row>
    <row r="34" spans="1:6">
      <c r="A34" s="29">
        <v>27</v>
      </c>
      <c r="B34" s="29" t="s">
        <v>192</v>
      </c>
      <c r="C34" s="29" t="s">
        <v>193</v>
      </c>
      <c r="D34" s="29">
        <v>6.5625</v>
      </c>
      <c r="E34" s="29"/>
      <c r="F34" s="29">
        <f t="shared" si="0"/>
        <v>6.5625</v>
      </c>
    </row>
    <row r="35" spans="1:6">
      <c r="A35" s="29">
        <v>28</v>
      </c>
      <c r="B35" s="29" t="s">
        <v>194</v>
      </c>
      <c r="C35" s="29" t="s">
        <v>195</v>
      </c>
      <c r="D35" s="29">
        <v>24.6875</v>
      </c>
      <c r="E35" s="29"/>
      <c r="F35" s="29">
        <f t="shared" si="0"/>
        <v>24.6875</v>
      </c>
    </row>
    <row r="36" spans="1:6">
      <c r="A36" s="29">
        <v>29</v>
      </c>
      <c r="B36" s="29" t="s">
        <v>196</v>
      </c>
      <c r="C36" s="29" t="s">
        <v>197</v>
      </c>
      <c r="D36" s="29">
        <v>8.75</v>
      </c>
      <c r="E36" s="29"/>
      <c r="F36" s="29">
        <f t="shared" si="0"/>
        <v>8.75</v>
      </c>
    </row>
    <row r="37" spans="1:6">
      <c r="A37" s="29">
        <v>30</v>
      </c>
      <c r="B37" s="29" t="s">
        <v>198</v>
      </c>
      <c r="C37" s="29" t="s">
        <v>199</v>
      </c>
      <c r="D37" s="29">
        <v>5.9375</v>
      </c>
      <c r="E37" s="29"/>
      <c r="F37" s="29">
        <f t="shared" si="0"/>
        <v>5.9375</v>
      </c>
    </row>
    <row r="38" spans="1:6">
      <c r="A38" s="29">
        <v>31</v>
      </c>
      <c r="B38" s="29" t="s">
        <v>200</v>
      </c>
      <c r="C38" s="29" t="s">
        <v>201</v>
      </c>
      <c r="D38" s="29">
        <v>25</v>
      </c>
      <c r="E38" s="29"/>
      <c r="F38" s="29">
        <f t="shared" si="0"/>
        <v>25</v>
      </c>
    </row>
    <row r="39" spans="1:6">
      <c r="A39" s="29">
        <v>32</v>
      </c>
      <c r="B39" s="29" t="s">
        <v>202</v>
      </c>
      <c r="C39" s="29" t="s">
        <v>203</v>
      </c>
      <c r="D39" s="29">
        <v>21.25</v>
      </c>
      <c r="E39" s="29"/>
      <c r="F39" s="29">
        <f t="shared" si="0"/>
        <v>21.25</v>
      </c>
    </row>
    <row r="40" spans="1:6">
      <c r="A40" s="29">
        <v>33</v>
      </c>
      <c r="B40" s="29" t="s">
        <v>204</v>
      </c>
      <c r="C40" s="29" t="s">
        <v>205</v>
      </c>
      <c r="D40" s="29">
        <v>19.375</v>
      </c>
      <c r="E40" s="29"/>
      <c r="F40" s="29">
        <f t="shared" si="0"/>
        <v>19.375</v>
      </c>
    </row>
    <row r="41" spans="1:6">
      <c r="A41" s="29">
        <v>34</v>
      </c>
      <c r="B41" s="29" t="s">
        <v>206</v>
      </c>
      <c r="C41" s="29" t="s">
        <v>207</v>
      </c>
      <c r="D41" s="29">
        <v>24.0625</v>
      </c>
      <c r="E41" s="29"/>
      <c r="F41" s="29">
        <f t="shared" si="0"/>
        <v>24.0625</v>
      </c>
    </row>
    <row r="42" spans="1:6">
      <c r="A42" s="29">
        <v>35</v>
      </c>
      <c r="B42" s="29" t="s">
        <v>208</v>
      </c>
      <c r="C42" s="29" t="s">
        <v>209</v>
      </c>
      <c r="D42" s="29">
        <v>24.6875</v>
      </c>
      <c r="E42" s="29"/>
      <c r="F42" s="29">
        <f t="shared" si="0"/>
        <v>24.6875</v>
      </c>
    </row>
    <row r="43" spans="1:6">
      <c r="A43" s="29">
        <v>36</v>
      </c>
      <c r="B43" s="29" t="s">
        <v>210</v>
      </c>
      <c r="C43" s="29" t="s">
        <v>211</v>
      </c>
      <c r="D43" s="29">
        <v>9.0625</v>
      </c>
      <c r="E43" s="29"/>
      <c r="F43" s="29">
        <f t="shared" si="0"/>
        <v>9.0625</v>
      </c>
    </row>
    <row r="44" spans="1:6">
      <c r="A44" s="29">
        <v>37</v>
      </c>
      <c r="B44" s="29" t="s">
        <v>212</v>
      </c>
      <c r="C44" s="29" t="s">
        <v>213</v>
      </c>
      <c r="D44" s="29">
        <v>17.8125</v>
      </c>
      <c r="E44" s="29"/>
      <c r="F44" s="29">
        <f t="shared" si="0"/>
        <v>17.8125</v>
      </c>
    </row>
    <row r="45" spans="1:6">
      <c r="A45" s="29">
        <v>38</v>
      </c>
      <c r="B45" s="29" t="s">
        <v>214</v>
      </c>
      <c r="C45" s="29" t="s">
        <v>215</v>
      </c>
      <c r="D45" s="29">
        <v>6.8750000000000009</v>
      </c>
      <c r="E45" s="29"/>
      <c r="F45" s="29">
        <f t="shared" si="0"/>
        <v>6.8750000000000009</v>
      </c>
    </row>
    <row r="46" spans="1:6">
      <c r="A46" s="29">
        <v>39</v>
      </c>
      <c r="B46" s="29" t="s">
        <v>216</v>
      </c>
      <c r="C46" s="29" t="s">
        <v>217</v>
      </c>
      <c r="D46" s="29">
        <v>23.4375</v>
      </c>
      <c r="E46" s="29"/>
      <c r="F46" s="29">
        <f t="shared" si="0"/>
        <v>23.4375</v>
      </c>
    </row>
    <row r="47" spans="1:6">
      <c r="A47" s="29">
        <v>40</v>
      </c>
      <c r="B47" s="29" t="s">
        <v>218</v>
      </c>
      <c r="C47" s="29" t="s">
        <v>219</v>
      </c>
      <c r="D47" s="29">
        <v>24.0625</v>
      </c>
      <c r="E47" s="29"/>
      <c r="F47" s="29">
        <f t="shared" si="0"/>
        <v>24.0625</v>
      </c>
    </row>
    <row r="48" spans="1:6">
      <c r="A48" s="29">
        <v>41</v>
      </c>
      <c r="B48" s="29" t="s">
        <v>220</v>
      </c>
      <c r="C48" s="29" t="s">
        <v>221</v>
      </c>
      <c r="D48" s="29">
        <v>19.375</v>
      </c>
      <c r="E48" s="29"/>
      <c r="F48" s="29">
        <f t="shared" si="0"/>
        <v>19.375</v>
      </c>
    </row>
    <row r="49" spans="1:6">
      <c r="A49" s="29">
        <v>42</v>
      </c>
      <c r="B49" s="29" t="s">
        <v>222</v>
      </c>
      <c r="C49" s="29" t="s">
        <v>223</v>
      </c>
      <c r="D49" s="29">
        <v>23.4375</v>
      </c>
      <c r="E49" s="29"/>
      <c r="F49" s="29">
        <f t="shared" si="0"/>
        <v>23.4375</v>
      </c>
    </row>
    <row r="50" spans="1:6">
      <c r="A50" s="29">
        <v>43</v>
      </c>
      <c r="B50" s="29" t="s">
        <v>224</v>
      </c>
      <c r="C50" s="29" t="s">
        <v>225</v>
      </c>
      <c r="D50" s="29">
        <v>10.625</v>
      </c>
      <c r="E50" s="29"/>
      <c r="F50" s="29">
        <f t="shared" si="0"/>
        <v>10.625</v>
      </c>
    </row>
    <row r="51" spans="1:6">
      <c r="A51" s="29">
        <v>44</v>
      </c>
      <c r="B51" s="29" t="s">
        <v>226</v>
      </c>
      <c r="C51" s="29" t="s">
        <v>227</v>
      </c>
      <c r="D51" s="29">
        <v>20</v>
      </c>
      <c r="E51" s="29"/>
      <c r="F51" s="29">
        <f t="shared" si="0"/>
        <v>20</v>
      </c>
    </row>
    <row r="52" spans="1:6">
      <c r="A52" s="29">
        <v>45</v>
      </c>
      <c r="B52" s="29" t="s">
        <v>228</v>
      </c>
      <c r="C52" s="29" t="s">
        <v>229</v>
      </c>
      <c r="D52" s="29">
        <v>12.812499999999998</v>
      </c>
      <c r="E52" s="29"/>
      <c r="F52" s="29">
        <f t="shared" si="0"/>
        <v>12.812499999999998</v>
      </c>
    </row>
    <row r="53" spans="1:6">
      <c r="A53" s="29">
        <v>46</v>
      </c>
      <c r="B53" s="29" t="s">
        <v>230</v>
      </c>
      <c r="C53" s="29" t="s">
        <v>231</v>
      </c>
      <c r="D53" s="29">
        <v>16.5625</v>
      </c>
      <c r="E53" s="29"/>
      <c r="F53" s="29">
        <f t="shared" si="0"/>
        <v>16.5625</v>
      </c>
    </row>
    <row r="54" spans="1:6">
      <c r="A54" s="29">
        <v>49</v>
      </c>
      <c r="B54" s="29" t="s">
        <v>232</v>
      </c>
      <c r="C54" s="29" t="s">
        <v>233</v>
      </c>
      <c r="D54" s="29">
        <v>19.6875</v>
      </c>
      <c r="E54" s="29"/>
      <c r="F54" s="29">
        <f t="shared" si="0"/>
        <v>19.6875</v>
      </c>
    </row>
    <row r="55" spans="1:6">
      <c r="A55" s="29">
        <v>50</v>
      </c>
      <c r="B55" s="29" t="s">
        <v>234</v>
      </c>
      <c r="C55" s="29" t="s">
        <v>235</v>
      </c>
      <c r="D55" s="29">
        <v>23.4375</v>
      </c>
      <c r="E55" s="29"/>
      <c r="F55" s="29">
        <f t="shared" si="0"/>
        <v>23.4375</v>
      </c>
    </row>
    <row r="56" spans="1:6">
      <c r="A56" s="29">
        <v>51</v>
      </c>
      <c r="B56" s="29" t="s">
        <v>236</v>
      </c>
      <c r="C56" s="29" t="s">
        <v>237</v>
      </c>
      <c r="D56" s="29">
        <v>21.875</v>
      </c>
      <c r="E56" s="29"/>
      <c r="F56" s="29">
        <f t="shared" si="0"/>
        <v>21.875</v>
      </c>
    </row>
    <row r="57" spans="1:6">
      <c r="A57" s="29">
        <v>52</v>
      </c>
      <c r="B57" s="29" t="s">
        <v>238</v>
      </c>
      <c r="C57" s="29" t="s">
        <v>239</v>
      </c>
      <c r="D57" s="29">
        <v>9.6875</v>
      </c>
      <c r="E57" s="29"/>
      <c r="F57" s="29">
        <f t="shared" si="0"/>
        <v>9.6875</v>
      </c>
    </row>
    <row r="58" spans="1:6">
      <c r="A58" s="29">
        <v>53</v>
      </c>
      <c r="B58" s="29" t="s">
        <v>240</v>
      </c>
      <c r="C58" s="29" t="s">
        <v>241</v>
      </c>
      <c r="D58" s="29">
        <v>17.5</v>
      </c>
      <c r="E58" s="29"/>
      <c r="F58" s="29">
        <f t="shared" si="0"/>
        <v>17.5</v>
      </c>
    </row>
    <row r="59" spans="1:6">
      <c r="A59" s="29">
        <v>54</v>
      </c>
      <c r="B59" s="29" t="s">
        <v>242</v>
      </c>
      <c r="C59" s="29" t="s">
        <v>243</v>
      </c>
      <c r="D59" s="29">
        <v>11.5625</v>
      </c>
      <c r="E59" s="29"/>
      <c r="F59" s="29">
        <f t="shared" si="0"/>
        <v>11.5625</v>
      </c>
    </row>
    <row r="60" spans="1:6">
      <c r="A60" s="29">
        <v>55</v>
      </c>
      <c r="B60" s="29" t="s">
        <v>244</v>
      </c>
      <c r="C60" s="29" t="s">
        <v>245</v>
      </c>
      <c r="D60" s="29">
        <v>5.9375</v>
      </c>
      <c r="E60" s="29"/>
      <c r="F60" s="29">
        <f t="shared" si="0"/>
        <v>5.9375</v>
      </c>
    </row>
    <row r="61" spans="1:6">
      <c r="A61" s="29">
        <v>56</v>
      </c>
      <c r="B61" s="29" t="s">
        <v>134</v>
      </c>
      <c r="C61" s="29" t="s">
        <v>246</v>
      </c>
      <c r="D61" s="29">
        <v>10</v>
      </c>
      <c r="E61" s="29"/>
      <c r="F61" s="29">
        <f t="shared" si="0"/>
        <v>10</v>
      </c>
    </row>
    <row r="62" spans="1:6">
      <c r="A62" s="29">
        <v>57</v>
      </c>
      <c r="B62" s="29" t="s">
        <v>134</v>
      </c>
      <c r="C62" s="29" t="s">
        <v>247</v>
      </c>
      <c r="D62" s="29">
        <v>11.875</v>
      </c>
      <c r="E62" s="29"/>
      <c r="F62" s="29">
        <f t="shared" si="0"/>
        <v>11.875</v>
      </c>
    </row>
    <row r="63" spans="1:6">
      <c r="A63" s="29">
        <v>58</v>
      </c>
      <c r="B63" s="29" t="s">
        <v>134</v>
      </c>
      <c r="C63" s="29" t="s">
        <v>248</v>
      </c>
      <c r="D63" s="29">
        <v>5.9375</v>
      </c>
      <c r="E63" s="29"/>
      <c r="F63" s="29">
        <f t="shared" si="0"/>
        <v>5.9375</v>
      </c>
    </row>
    <row r="64" spans="1:6">
      <c r="A64" s="29">
        <v>59</v>
      </c>
      <c r="B64" s="29" t="s">
        <v>134</v>
      </c>
      <c r="C64" s="29" t="s">
        <v>249</v>
      </c>
      <c r="D64" s="29">
        <v>15.937499999999998</v>
      </c>
      <c r="E64" s="29"/>
      <c r="F64" s="29">
        <f t="shared" si="0"/>
        <v>15.937499999999998</v>
      </c>
    </row>
    <row r="65" spans="1:6">
      <c r="A65" s="29">
        <v>60</v>
      </c>
      <c r="B65" s="29" t="s">
        <v>134</v>
      </c>
      <c r="C65" s="29" t="s">
        <v>250</v>
      </c>
      <c r="D65" s="29">
        <v>12.5</v>
      </c>
      <c r="E65" s="29"/>
      <c r="F65" s="29">
        <f t="shared" si="0"/>
        <v>12.5</v>
      </c>
    </row>
    <row r="66" spans="1:6">
      <c r="A66" s="29">
        <v>61</v>
      </c>
      <c r="B66" s="29" t="s">
        <v>134</v>
      </c>
      <c r="C66" s="29" t="s">
        <v>251</v>
      </c>
      <c r="D66" s="29">
        <v>12.5</v>
      </c>
      <c r="E66" s="29"/>
      <c r="F66" s="29">
        <f t="shared" si="0"/>
        <v>12.5</v>
      </c>
    </row>
    <row r="67" spans="1:6">
      <c r="A67" s="29">
        <v>62</v>
      </c>
      <c r="B67" s="29" t="s">
        <v>134</v>
      </c>
      <c r="C67" s="29" t="s">
        <v>252</v>
      </c>
      <c r="D67" s="29">
        <v>16.875</v>
      </c>
      <c r="E67" s="29"/>
      <c r="F67" s="29">
        <f t="shared" si="0"/>
        <v>16.875</v>
      </c>
    </row>
    <row r="68" spans="1:6">
      <c r="A68" s="29">
        <v>63</v>
      </c>
      <c r="B68" s="29" t="s">
        <v>253</v>
      </c>
      <c r="C68" s="29" t="s">
        <v>254</v>
      </c>
      <c r="D68" s="29">
        <v>18.125</v>
      </c>
      <c r="E68" s="29"/>
      <c r="F68" s="29">
        <f t="shared" si="0"/>
        <v>18.125</v>
      </c>
    </row>
    <row r="69" spans="1:6">
      <c r="A69" s="29">
        <v>64</v>
      </c>
      <c r="B69" s="29" t="s">
        <v>255</v>
      </c>
      <c r="C69" s="29" t="s">
        <v>256</v>
      </c>
      <c r="D69" s="29">
        <v>7.5</v>
      </c>
      <c r="E69" s="29"/>
      <c r="F69" s="29">
        <f t="shared" si="0"/>
        <v>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0D9D-778D-4547-A74F-1AA8B93D1432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3rd A </vt:lpstr>
      <vt:lpstr>3rdA_internal</vt:lpstr>
      <vt:lpstr>3rdA_total</vt:lpstr>
      <vt:lpstr>3rd B </vt:lpstr>
      <vt:lpstr>3rdB_internal</vt:lpstr>
      <vt:lpstr>3rsB_total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hod</dc:creator>
  <cp:lastModifiedBy>shravani kamath</cp:lastModifiedBy>
  <cp:lastPrinted>2023-12-01T07:05:10Z</cp:lastPrinted>
  <dcterms:created xsi:type="dcterms:W3CDTF">2023-11-16T08:49:22Z</dcterms:created>
  <dcterms:modified xsi:type="dcterms:W3CDTF">2024-07-08T14:20:56Z</dcterms:modified>
</cp:coreProperties>
</file>